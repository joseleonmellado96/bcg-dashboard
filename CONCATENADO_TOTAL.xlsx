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Doctorado_28.7.25\MAGPIX_AMBAS_LARGADAS\"/>
    </mc:Choice>
  </mc:AlternateContent>
  <xr:revisionPtr revIDLastSave="0" documentId="13_ncr:1_{1EB65DCB-3715-4A3E-BAE7-8CEE83CAB5E0}" xr6:coauthVersionLast="47" xr6:coauthVersionMax="47" xr10:uidLastSave="{00000000-0000-0000-0000-000000000000}"/>
  <bookViews>
    <workbookView xWindow="11472" yWindow="948" windowWidth="11856" windowHeight="11640" xr2:uid="{AD7795D1-7DD8-4583-87FD-C211E19BBA0C}"/>
  </bookViews>
  <sheets>
    <sheet name="Hoja1" sheetId="1" r:id="rId1"/>
  </sheets>
  <definedNames>
    <definedName name="_xlnm._FilterDatabase" localSheetId="0" hidden="1">Hoja1!$A$1:$AE$157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47" i="1" l="1"/>
  <c r="AW147" i="1" s="1"/>
  <c r="AT147" i="1"/>
  <c r="AU142" i="1"/>
  <c r="AT142" i="1"/>
  <c r="AU138" i="1"/>
  <c r="AT138" i="1"/>
  <c r="AW138" i="1" s="1"/>
  <c r="AU137" i="1"/>
  <c r="AT137" i="1"/>
  <c r="AU136" i="1"/>
  <c r="AT136" i="1"/>
  <c r="AW136" i="1" s="1"/>
  <c r="AU133" i="1"/>
  <c r="AT133" i="1"/>
  <c r="AU132" i="1"/>
  <c r="AT132" i="1"/>
  <c r="AU125" i="1"/>
  <c r="AT125" i="1"/>
  <c r="AW125" i="1" s="1"/>
  <c r="AU124" i="1"/>
  <c r="AT124" i="1"/>
  <c r="AV124" i="1" s="1"/>
  <c r="AU121" i="1"/>
  <c r="AT121" i="1"/>
  <c r="AU118" i="1"/>
  <c r="AT118" i="1"/>
  <c r="AU117" i="1"/>
  <c r="AT117" i="1"/>
  <c r="AU112" i="1"/>
  <c r="AT112" i="1"/>
  <c r="AU109" i="1"/>
  <c r="AT109" i="1"/>
  <c r="AU108" i="1"/>
  <c r="AT108" i="1"/>
  <c r="AU104" i="1"/>
  <c r="AT104" i="1"/>
  <c r="AV104" i="1" s="1"/>
  <c r="AU103" i="1"/>
  <c r="AT103" i="1"/>
  <c r="AU99" i="1"/>
  <c r="AT99" i="1"/>
  <c r="AU98" i="1"/>
  <c r="AT98" i="1"/>
  <c r="AU95" i="1"/>
  <c r="AT95" i="1"/>
  <c r="AU94" i="1"/>
  <c r="AT94" i="1"/>
  <c r="AU90" i="1"/>
  <c r="AT90" i="1"/>
  <c r="AU89" i="1"/>
  <c r="AT89" i="1"/>
  <c r="AU85" i="1"/>
  <c r="AT85" i="1"/>
  <c r="AW85" i="1" s="1"/>
  <c r="AU84" i="1"/>
  <c r="AT84" i="1"/>
  <c r="AU77" i="1"/>
  <c r="AT77" i="1"/>
  <c r="AU80" i="1"/>
  <c r="AT80" i="1"/>
  <c r="AU72" i="1"/>
  <c r="AT72" i="1"/>
  <c r="AU75" i="1"/>
  <c r="AT75" i="1"/>
  <c r="AU67" i="1"/>
  <c r="AT67" i="1"/>
  <c r="AU70" i="1"/>
  <c r="AT70" i="1"/>
  <c r="AU63" i="1"/>
  <c r="AT63" i="1"/>
  <c r="AU62" i="1"/>
  <c r="AT62" i="1"/>
  <c r="AU60" i="1"/>
  <c r="AT60" i="1"/>
  <c r="AU57" i="1"/>
  <c r="AT57" i="1"/>
  <c r="AU55" i="1"/>
  <c r="AT55" i="1"/>
  <c r="AU45" i="1"/>
  <c r="AT45" i="1"/>
  <c r="AU42" i="1"/>
  <c r="AT42" i="1"/>
  <c r="AU40" i="1"/>
  <c r="AT40" i="1"/>
  <c r="AU37" i="1"/>
  <c r="AT37" i="1"/>
  <c r="AU35" i="1"/>
  <c r="AT35" i="1"/>
  <c r="AU32" i="1"/>
  <c r="AT32" i="1"/>
  <c r="AU30" i="1"/>
  <c r="AT30" i="1"/>
  <c r="AU27" i="1"/>
  <c r="AT27" i="1"/>
  <c r="AU22" i="1"/>
  <c r="AT22" i="1"/>
  <c r="AU16" i="1"/>
  <c r="AT16" i="1"/>
  <c r="AU11" i="1"/>
  <c r="AT11" i="1"/>
  <c r="AU14" i="1"/>
  <c r="AT14" i="1"/>
  <c r="AU10" i="1"/>
  <c r="AT10" i="1"/>
  <c r="AU6" i="1"/>
  <c r="AT6" i="1"/>
  <c r="AU3" i="1"/>
  <c r="AT3" i="1"/>
  <c r="AV147" i="1" l="1"/>
  <c r="AW90" i="1"/>
  <c r="AW109" i="1"/>
  <c r="AW142" i="1"/>
  <c r="AV142" i="1"/>
  <c r="AW132" i="1"/>
  <c r="AW137" i="1"/>
  <c r="AV138" i="1"/>
  <c r="AV136" i="1"/>
  <c r="AV137" i="1"/>
  <c r="AV132" i="1"/>
  <c r="AW133" i="1"/>
  <c r="AW94" i="1"/>
  <c r="AW112" i="1"/>
  <c r="AV133" i="1"/>
  <c r="AV118" i="1"/>
  <c r="AV121" i="1"/>
  <c r="AW124" i="1"/>
  <c r="AW108" i="1"/>
  <c r="AV125" i="1"/>
  <c r="AW27" i="1"/>
  <c r="AW72" i="1"/>
  <c r="AW95" i="1"/>
  <c r="AW117" i="1"/>
  <c r="AW121" i="1"/>
  <c r="AW118" i="1"/>
  <c r="AV117" i="1"/>
  <c r="AV112" i="1"/>
  <c r="AV109" i="1"/>
  <c r="AV108" i="1"/>
  <c r="AV98" i="1"/>
  <c r="AW60" i="1"/>
  <c r="AV99" i="1"/>
  <c r="AW103" i="1"/>
  <c r="AW89" i="1"/>
  <c r="AW104" i="1"/>
  <c r="AV103" i="1"/>
  <c r="AW99" i="1"/>
  <c r="AW98" i="1"/>
  <c r="AV95" i="1"/>
  <c r="AV94" i="1"/>
  <c r="AW84" i="1"/>
  <c r="AW40" i="1"/>
  <c r="AV85" i="1"/>
  <c r="AW75" i="1"/>
  <c r="AV90" i="1"/>
  <c r="AV89" i="1"/>
  <c r="AV84" i="1"/>
  <c r="AW67" i="1"/>
  <c r="AW80" i="1"/>
  <c r="AW77" i="1"/>
  <c r="AV77" i="1"/>
  <c r="AV80" i="1"/>
  <c r="AV72" i="1"/>
  <c r="AV75" i="1"/>
  <c r="AW55" i="1"/>
  <c r="AW70" i="1"/>
  <c r="AV67" i="1"/>
  <c r="AV70" i="1"/>
  <c r="AW35" i="1"/>
  <c r="AW62" i="1"/>
  <c r="AW37" i="1"/>
  <c r="AW63" i="1"/>
  <c r="AV63" i="1"/>
  <c r="AV62" i="1"/>
  <c r="AW57" i="1"/>
  <c r="AV60" i="1"/>
  <c r="AV57" i="1"/>
  <c r="AV55" i="1"/>
  <c r="AW6" i="1"/>
  <c r="AW16" i="1"/>
  <c r="AW10" i="1"/>
  <c r="AW42" i="1"/>
  <c r="AW45" i="1"/>
  <c r="AV45" i="1"/>
  <c r="AV42" i="1"/>
  <c r="AW30" i="1"/>
  <c r="AW32" i="1"/>
  <c r="AV40" i="1"/>
  <c r="AV37" i="1"/>
  <c r="AV35" i="1"/>
  <c r="AV32" i="1"/>
  <c r="AW11" i="1"/>
  <c r="AV30" i="1"/>
  <c r="AV27" i="1"/>
  <c r="AW22" i="1"/>
  <c r="AV22" i="1"/>
  <c r="AV16" i="1"/>
  <c r="AW14" i="1"/>
  <c r="AV11" i="1"/>
  <c r="AV14" i="1"/>
  <c r="AV10" i="1"/>
  <c r="AW3" i="1"/>
  <c r="AV6" i="1"/>
  <c r="AV3" i="1"/>
</calcChain>
</file>

<file path=xl/sharedStrings.xml><?xml version="1.0" encoding="utf-8"?>
<sst xmlns="http://schemas.openxmlformats.org/spreadsheetml/2006/main" count="1191" uniqueCount="258">
  <si>
    <t>CODIGO</t>
  </si>
  <si>
    <t>TipoMuestra</t>
  </si>
  <si>
    <t>Paciente</t>
  </si>
  <si>
    <t>Tiempo</t>
  </si>
  <si>
    <t>EOTAX_ESC</t>
  </si>
  <si>
    <t>IFNg_ESC</t>
  </si>
  <si>
    <t>IL-1B_ESC</t>
  </si>
  <si>
    <t>IL-1RA_ESC</t>
  </si>
  <si>
    <t>IL2_ESC</t>
  </si>
  <si>
    <t>IL4_ESC</t>
  </si>
  <si>
    <t>IL6_ESC</t>
  </si>
  <si>
    <t>IL8_ESC</t>
  </si>
  <si>
    <t>IL10_ESC</t>
  </si>
  <si>
    <t>IL12_ESC</t>
  </si>
  <si>
    <t>IL13_ESC</t>
  </si>
  <si>
    <t>IL18_ESC</t>
  </si>
  <si>
    <t>IP10_ESC</t>
  </si>
  <si>
    <t>MCP1_ESC</t>
  </si>
  <si>
    <t>MDC_ESC</t>
  </si>
  <si>
    <t>MIG_ESC</t>
  </si>
  <si>
    <t>MIP1B_ESC</t>
  </si>
  <si>
    <t>TNF_ESC</t>
  </si>
  <si>
    <t>BCA1_ESC</t>
  </si>
  <si>
    <t>ENA78_ESC</t>
  </si>
  <si>
    <t>MIP3B/CCL19_ESC</t>
  </si>
  <si>
    <t>TRAIL_ESC</t>
  </si>
  <si>
    <t>OB19</t>
  </si>
  <si>
    <t>OrinaPaciente</t>
  </si>
  <si>
    <t>basal</t>
  </si>
  <si>
    <t>OP19</t>
  </si>
  <si>
    <t>post</t>
  </si>
  <si>
    <t>OB20</t>
  </si>
  <si>
    <t>OP20</t>
  </si>
  <si>
    <t>OB21</t>
  </si>
  <si>
    <t>OP21</t>
  </si>
  <si>
    <t>OB22</t>
  </si>
  <si>
    <t>OP22</t>
  </si>
  <si>
    <t>OB23</t>
  </si>
  <si>
    <t>OP23</t>
  </si>
  <si>
    <t>OB24</t>
  </si>
  <si>
    <t>OP24</t>
  </si>
  <si>
    <t>OB25</t>
  </si>
  <si>
    <t>OP25</t>
  </si>
  <si>
    <t>OB26</t>
  </si>
  <si>
    <t>OP26</t>
  </si>
  <si>
    <t>OB27</t>
  </si>
  <si>
    <t>OB28</t>
  </si>
  <si>
    <t>OP28</t>
  </si>
  <si>
    <t>OB29</t>
  </si>
  <si>
    <t>OP29</t>
  </si>
  <si>
    <t>OB30</t>
  </si>
  <si>
    <t>OP30</t>
  </si>
  <si>
    <t>OB31</t>
  </si>
  <si>
    <t>OP31</t>
  </si>
  <si>
    <t>OB35</t>
  </si>
  <si>
    <t>OM01</t>
  </si>
  <si>
    <t>mantenimiento</t>
  </si>
  <si>
    <t>OM03</t>
  </si>
  <si>
    <t>OM05</t>
  </si>
  <si>
    <t>OM07</t>
  </si>
  <si>
    <t>OM08</t>
  </si>
  <si>
    <t>OM09</t>
  </si>
  <si>
    <t>OM10</t>
  </si>
  <si>
    <t>OM11</t>
  </si>
  <si>
    <t>OM12</t>
  </si>
  <si>
    <t>OM13</t>
  </si>
  <si>
    <t>OM14</t>
  </si>
  <si>
    <t>OM15</t>
  </si>
  <si>
    <t>OM16</t>
  </si>
  <si>
    <t>OM17</t>
  </si>
  <si>
    <t>OM18</t>
  </si>
  <si>
    <t>OM19</t>
  </si>
  <si>
    <t>OM20</t>
  </si>
  <si>
    <t>OM21</t>
  </si>
  <si>
    <t>OM23</t>
  </si>
  <si>
    <t>OM24</t>
  </si>
  <si>
    <t>OM26</t>
  </si>
  <si>
    <t>OM27</t>
  </si>
  <si>
    <t>ODN3</t>
  </si>
  <si>
    <t>OrinaDonante</t>
  </si>
  <si>
    <t>DN</t>
  </si>
  <si>
    <t>ODN5</t>
  </si>
  <si>
    <t>ODN6</t>
  </si>
  <si>
    <t>ODN7</t>
  </si>
  <si>
    <t>ODN8</t>
  </si>
  <si>
    <t>PB15</t>
  </si>
  <si>
    <t>PlasmaPaciente</t>
  </si>
  <si>
    <t>PP15</t>
  </si>
  <si>
    <t>PB19</t>
  </si>
  <si>
    <t>PP19</t>
  </si>
  <si>
    <t>PB20</t>
  </si>
  <si>
    <t>PP20</t>
  </si>
  <si>
    <t>PB21</t>
  </si>
  <si>
    <t>PP21</t>
  </si>
  <si>
    <t>PB22</t>
  </si>
  <si>
    <t>PP22</t>
  </si>
  <si>
    <t>PB23</t>
  </si>
  <si>
    <t>PP23</t>
  </si>
  <si>
    <t>PB24</t>
  </si>
  <si>
    <t>PP24</t>
  </si>
  <si>
    <t>PB25</t>
  </si>
  <si>
    <t>PP25</t>
  </si>
  <si>
    <t>PB26</t>
  </si>
  <si>
    <t>PP26</t>
  </si>
  <si>
    <t>PB27</t>
  </si>
  <si>
    <t>PB28</t>
  </si>
  <si>
    <t>PP28</t>
  </si>
  <si>
    <t>PB29</t>
  </si>
  <si>
    <t>PP29</t>
  </si>
  <si>
    <t>PB30</t>
  </si>
  <si>
    <t>PP30</t>
  </si>
  <si>
    <t>PB31</t>
  </si>
  <si>
    <t>PP31</t>
  </si>
  <si>
    <t>PP01</t>
  </si>
  <si>
    <t>PP04</t>
  </si>
  <si>
    <t>PP07</t>
  </si>
  <si>
    <t>PP08</t>
  </si>
  <si>
    <t>PP09</t>
  </si>
  <si>
    <t>PP10</t>
  </si>
  <si>
    <t>PP11</t>
  </si>
  <si>
    <t>PP12</t>
  </si>
  <si>
    <t>PP13</t>
  </si>
  <si>
    <t>PP14</t>
  </si>
  <si>
    <t>PP16</t>
  </si>
  <si>
    <t>PP17</t>
  </si>
  <si>
    <t>PP18</t>
  </si>
  <si>
    <t>PP05</t>
  </si>
  <si>
    <t>PB33</t>
  </si>
  <si>
    <t>PP33</t>
  </si>
  <si>
    <t>PB34</t>
  </si>
  <si>
    <t>PP34</t>
  </si>
  <si>
    <t>PB35</t>
  </si>
  <si>
    <t>OB33</t>
  </si>
  <si>
    <t>OP33</t>
  </si>
  <si>
    <t>OB34</t>
  </si>
  <si>
    <t>OP34</t>
  </si>
  <si>
    <t>O1B</t>
  </si>
  <si>
    <t>Basal</t>
  </si>
  <si>
    <t>O1P</t>
  </si>
  <si>
    <t>Post</t>
  </si>
  <si>
    <t>O3B</t>
  </si>
  <si>
    <t>O3P</t>
  </si>
  <si>
    <t>O4B</t>
  </si>
  <si>
    <t>O4P</t>
  </si>
  <si>
    <t>O5B</t>
  </si>
  <si>
    <t>O5P</t>
  </si>
  <si>
    <t>O6B</t>
  </si>
  <si>
    <t>O6P</t>
  </si>
  <si>
    <t>O7B</t>
  </si>
  <si>
    <t>O7P</t>
  </si>
  <si>
    <t>O8B</t>
  </si>
  <si>
    <t>O8P</t>
  </si>
  <si>
    <t>O9B</t>
  </si>
  <si>
    <t>O9P</t>
  </si>
  <si>
    <t>O10B</t>
  </si>
  <si>
    <t>O10P</t>
  </si>
  <si>
    <t>O11B</t>
  </si>
  <si>
    <t>O11P</t>
  </si>
  <si>
    <t>O12B</t>
  </si>
  <si>
    <t>O12P</t>
  </si>
  <si>
    <t>O13B</t>
  </si>
  <si>
    <t>O13P</t>
  </si>
  <si>
    <t>O14B</t>
  </si>
  <si>
    <t>O14P</t>
  </si>
  <si>
    <t>O15B</t>
  </si>
  <si>
    <t>O15P</t>
  </si>
  <si>
    <t>O16B</t>
  </si>
  <si>
    <t>O16P</t>
  </si>
  <si>
    <t>O17B</t>
  </si>
  <si>
    <t>O17P</t>
  </si>
  <si>
    <t>O18B</t>
  </si>
  <si>
    <t>O18P</t>
  </si>
  <si>
    <t>P1B</t>
  </si>
  <si>
    <t>&lt; 1.6</t>
  </si>
  <si>
    <t>P3B</t>
  </si>
  <si>
    <t>P4B</t>
  </si>
  <si>
    <t>P18B</t>
  </si>
  <si>
    <t>P7B</t>
  </si>
  <si>
    <t>P8B</t>
  </si>
  <si>
    <t>P9B</t>
  </si>
  <si>
    <t>P10B</t>
  </si>
  <si>
    <t>P11B</t>
  </si>
  <si>
    <t>P12B</t>
  </si>
  <si>
    <t>P13B</t>
  </si>
  <si>
    <t>P14B</t>
  </si>
  <si>
    <t>P16B</t>
  </si>
  <si>
    <t>P17B</t>
  </si>
  <si>
    <t>PDN1</t>
  </si>
  <si>
    <t>PlasmaDonante</t>
  </si>
  <si>
    <t>PDN2</t>
  </si>
  <si>
    <t>PDN3</t>
  </si>
  <si>
    <t>PDN4</t>
  </si>
  <si>
    <t>PDN5</t>
  </si>
  <si>
    <t>DN3o</t>
  </si>
  <si>
    <t>DN5o</t>
  </si>
  <si>
    <t>DN6o</t>
  </si>
  <si>
    <t>DN7o</t>
  </si>
  <si>
    <t>DN8o</t>
  </si>
  <si>
    <t>DN1p</t>
  </si>
  <si>
    <t>DN2p</t>
  </si>
  <si>
    <t>DN3p</t>
  </si>
  <si>
    <t>DN4p</t>
  </si>
  <si>
    <t>DN5p</t>
  </si>
  <si>
    <t>score</t>
  </si>
  <si>
    <t>bajo</t>
  </si>
  <si>
    <t>alto</t>
  </si>
  <si>
    <t>respuesta1/26</t>
  </si>
  <si>
    <t>r</t>
  </si>
  <si>
    <t>nr</t>
  </si>
  <si>
    <t>fumador</t>
  </si>
  <si>
    <t>si</t>
  </si>
  <si>
    <t>no</t>
  </si>
  <si>
    <t>riesgo</t>
  </si>
  <si>
    <t>intolerancia</t>
  </si>
  <si>
    <t>intermedio</t>
  </si>
  <si>
    <t xml:space="preserve">NEUT SEG </t>
  </si>
  <si>
    <t xml:space="preserve">EOSIN </t>
  </si>
  <si>
    <t xml:space="preserve">BASO </t>
  </si>
  <si>
    <t xml:space="preserve">LINF </t>
  </si>
  <si>
    <t xml:space="preserve">MONOC </t>
  </si>
  <si>
    <t>SII INDEX</t>
  </si>
  <si>
    <t>NLR</t>
  </si>
  <si>
    <t xml:space="preserve">GB-B </t>
  </si>
  <si>
    <t xml:space="preserve">GB-R </t>
  </si>
  <si>
    <t xml:space="preserve">HEMOGL </t>
  </si>
  <si>
    <t>HEMATOCR</t>
  </si>
  <si>
    <t>VCM</t>
  </si>
  <si>
    <t xml:space="preserve">HCM </t>
  </si>
  <si>
    <t xml:space="preserve">CHCM </t>
  </si>
  <si>
    <t xml:space="preserve">NEUT CAY </t>
  </si>
  <si>
    <t xml:space="preserve">PLAQ </t>
  </si>
  <si>
    <t>NEUTROFILOS</t>
  </si>
  <si>
    <t>LINFOCITOS</t>
  </si>
  <si>
    <t>5.06</t>
  </si>
  <si>
    <t>15.5</t>
  </si>
  <si>
    <t>44.8</t>
  </si>
  <si>
    <t>30.6</t>
  </si>
  <si>
    <t>34.6</t>
  </si>
  <si>
    <t>15.4</t>
  </si>
  <si>
    <t>45.5</t>
  </si>
  <si>
    <t>30.4</t>
  </si>
  <si>
    <t>33.8</t>
  </si>
  <si>
    <t>4.99</t>
  </si>
  <si>
    <t>43.9</t>
  </si>
  <si>
    <t>34.1</t>
  </si>
  <si>
    <t>3.96</t>
  </si>
  <si>
    <t>12.5</t>
  </si>
  <si>
    <t>37.3</t>
  </si>
  <si>
    <t>31.6</t>
  </si>
  <si>
    <t>33.5</t>
  </si>
  <si>
    <t>0.05</t>
  </si>
  <si>
    <t>0.01</t>
  </si>
  <si>
    <t>3.98</t>
  </si>
  <si>
    <t>12.2</t>
  </si>
  <si>
    <t>36.9</t>
  </si>
  <si>
    <t>30.8</t>
  </si>
  <si>
    <t>33.2</t>
  </si>
  <si>
    <t>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</si>
</sst>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 wrapText="1"/>
    </xf>
    <xf numFmtId="2" fontId="0" fillId="0" borderId="0" xfId="0" applyNumberFormat="1"/>
    <xf numFmtId="2" fontId="5" fillId="0" borderId="0" xfId="1" applyNumberFormat="1" applyFont="1" applyBorder="1" applyAlignment="1">
      <alignment horizontal="right" wrapText="1"/>
    </xf>
    <xf numFmtId="0" fontId="0" fillId="2" borderId="0" xfId="0" applyFill="1"/>
    <xf numFmtId="2" fontId="0" fillId="2" borderId="0" xfId="0" applyNumberFormat="1" applyFill="1"/>
    <xf numFmtId="0" fontId="5" fillId="2" borderId="0" xfId="0" applyFont="1" applyFill="1" applyAlignment="1">
      <alignment horizontal="right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C3C8-97C8-48B1-8E48-886B0E0C978C}">
  <sheetPr filterMode="1"/>
  <dimension ref="A1:AW157"/>
  <sheetViews>
    <sheetView tabSelected="1" topLeftCell="AG1" zoomScale="50" zoomScaleNormal="50" workbookViewId="0">
      <selection activeCell="AW1" sqref="AW1"/>
    </sheetView>
  </sheetViews>
  <sheetFormatPr baseColWidth="10" defaultRowHeight="14.4" x14ac:dyDescent="0.3"/>
  <cols>
    <col min="1" max="1" width="12.77734375" style="1" bestFit="1" customWidth="1"/>
    <col min="2" max="2" width="24.109375" style="1" bestFit="1" customWidth="1"/>
    <col min="3" max="3" width="13.21875" style="1" bestFit="1" customWidth="1"/>
    <col min="4" max="5" width="13.21875" style="1" customWidth="1"/>
    <col min="6" max="6" width="19.6640625" style="1" customWidth="1"/>
    <col min="7" max="7" width="21" style="1" customWidth="1"/>
    <col min="8" max="8" width="25.6640625" style="1" customWidth="1"/>
    <col min="9" max="9" width="22.5546875" style="1" bestFit="1" customWidth="1"/>
    <col min="10" max="10" width="17" style="1" hidden="1" customWidth="1"/>
    <col min="11" max="11" width="14" style="1" hidden="1" customWidth="1"/>
    <col min="12" max="12" width="15" style="1" hidden="1" customWidth="1"/>
    <col min="13" max="13" width="16.88671875" style="1" hidden="1" customWidth="1"/>
    <col min="14" max="17" width="13.6640625" style="1" hidden="1" customWidth="1"/>
    <col min="18" max="21" width="13.77734375" style="1" hidden="1" customWidth="1"/>
    <col min="22" max="22" width="14" style="1" hidden="1" customWidth="1"/>
    <col min="23" max="23" width="16.109375" style="1" hidden="1" customWidth="1"/>
    <col min="24" max="24" width="14.77734375" style="1" hidden="1" customWidth="1"/>
    <col min="25" max="25" width="13.77734375" style="1" hidden="1" customWidth="1"/>
    <col min="26" max="26" width="16.77734375" style="1" hidden="1" customWidth="1"/>
    <col min="27" max="27" width="13.21875" style="1" hidden="1" customWidth="1"/>
    <col min="28" max="28" width="15.5546875" style="1" hidden="1" customWidth="1"/>
    <col min="29" max="29" width="17.109375" style="1" hidden="1" customWidth="1"/>
    <col min="30" max="30" width="27.109375" style="1" hidden="1" customWidth="1"/>
    <col min="31" max="31" width="15.5546875" style="1" hidden="1" customWidth="1"/>
  </cols>
  <sheetData>
    <row r="1" spans="1:49" ht="30.6" x14ac:dyDescent="0.45">
      <c r="A1" s="2" t="s">
        <v>0</v>
      </c>
      <c r="B1" s="2" t="s">
        <v>1</v>
      </c>
      <c r="C1" s="2" t="s">
        <v>2</v>
      </c>
      <c r="D1" s="2" t="s">
        <v>203</v>
      </c>
      <c r="E1" s="2" t="s">
        <v>209</v>
      </c>
      <c r="F1" s="2" t="s">
        <v>213</v>
      </c>
      <c r="G1" s="2" t="s">
        <v>212</v>
      </c>
      <c r="H1" s="2" t="s">
        <v>206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4" t="s">
        <v>222</v>
      </c>
      <c r="AG1" s="4" t="s">
        <v>223</v>
      </c>
      <c r="AH1" s="4" t="s">
        <v>224</v>
      </c>
      <c r="AI1" s="4" t="s">
        <v>225</v>
      </c>
      <c r="AJ1" s="4" t="s">
        <v>226</v>
      </c>
      <c r="AK1" s="4" t="s">
        <v>227</v>
      </c>
      <c r="AL1" s="4" t="s">
        <v>228</v>
      </c>
      <c r="AM1" s="4" t="s">
        <v>229</v>
      </c>
      <c r="AN1" s="4" t="s">
        <v>215</v>
      </c>
      <c r="AO1" s="4" t="s">
        <v>216</v>
      </c>
      <c r="AP1" s="4" t="s">
        <v>217</v>
      </c>
      <c r="AQ1" s="4" t="s">
        <v>218</v>
      </c>
      <c r="AR1" s="4" t="s">
        <v>219</v>
      </c>
      <c r="AS1" s="4" t="s">
        <v>230</v>
      </c>
      <c r="AT1" s="4" t="s">
        <v>231</v>
      </c>
      <c r="AU1" s="4" t="s">
        <v>232</v>
      </c>
      <c r="AV1" s="5" t="s">
        <v>220</v>
      </c>
      <c r="AW1" s="6" t="s">
        <v>221</v>
      </c>
    </row>
    <row r="2" spans="1:49" ht="23.4" hidden="1" x14ac:dyDescent="0.45">
      <c r="A2" s="2" t="s">
        <v>55</v>
      </c>
      <c r="B2" s="2" t="s">
        <v>27</v>
      </c>
      <c r="C2" s="2">
        <v>1</v>
      </c>
      <c r="D2" s="2" t="s">
        <v>204</v>
      </c>
      <c r="E2" s="2" t="s">
        <v>210</v>
      </c>
      <c r="F2" s="2" t="s">
        <v>211</v>
      </c>
      <c r="G2" s="2" t="s">
        <v>205</v>
      </c>
      <c r="H2" s="2" t="s">
        <v>207</v>
      </c>
      <c r="I2" s="2" t="s">
        <v>56</v>
      </c>
      <c r="J2" s="3">
        <v>62.817915610630742</v>
      </c>
      <c r="K2" s="3">
        <v>10.796007993212386</v>
      </c>
      <c r="L2" s="3">
        <v>1.1204831237696407</v>
      </c>
      <c r="M2" s="3">
        <v>111.85242893399871</v>
      </c>
      <c r="N2" s="3">
        <v>0.19177698427759174</v>
      </c>
      <c r="O2" s="3">
        <v>2.2633805636610682</v>
      </c>
      <c r="P2" s="3">
        <v>5.8280418588950536</v>
      </c>
      <c r="Q2" s="3">
        <v>7.6913724314960117</v>
      </c>
      <c r="R2" s="3">
        <v>0.1729</v>
      </c>
      <c r="S2" s="3">
        <v>0.54142600926470985</v>
      </c>
      <c r="T2" s="3">
        <v>18.916587466676354</v>
      </c>
      <c r="U2" s="3">
        <v>50.187505375628092</v>
      </c>
      <c r="V2" s="3">
        <v>48.665496962267838</v>
      </c>
      <c r="W2" s="3">
        <v>4105.5414646738309</v>
      </c>
      <c r="X2" s="3">
        <v>5.2707454494113373</v>
      </c>
      <c r="Y2" s="3">
        <v>760.01727619865835</v>
      </c>
      <c r="Z2" s="3">
        <v>8.1651785561969721</v>
      </c>
      <c r="AA2" s="3">
        <v>3.3266915429857296</v>
      </c>
      <c r="AB2" s="3">
        <v>6.9616989731969259</v>
      </c>
      <c r="AC2" s="3">
        <v>2.8005005299752566</v>
      </c>
      <c r="AD2" s="3">
        <v>2.5602346154888549</v>
      </c>
      <c r="AE2" s="3">
        <v>4.1379310344827589</v>
      </c>
    </row>
    <row r="3" spans="1:49" ht="23.4" hidden="1" x14ac:dyDescent="0.45">
      <c r="A3" s="2" t="s">
        <v>172</v>
      </c>
      <c r="B3" s="2" t="s">
        <v>86</v>
      </c>
      <c r="C3" s="2">
        <v>1</v>
      </c>
      <c r="D3" s="2" t="s">
        <v>204</v>
      </c>
      <c r="E3" s="2" t="s">
        <v>210</v>
      </c>
      <c r="F3" s="2" t="s">
        <v>211</v>
      </c>
      <c r="G3" s="2" t="s">
        <v>205</v>
      </c>
      <c r="H3" s="2" t="s">
        <v>207</v>
      </c>
      <c r="I3" s="2" t="s">
        <v>137</v>
      </c>
      <c r="J3" s="3">
        <v>89.094793932642304</v>
      </c>
      <c r="K3" s="3">
        <v>16.112186774747101</v>
      </c>
      <c r="L3" s="3" t="s">
        <v>173</v>
      </c>
      <c r="M3" s="3">
        <v>1.97399182435184</v>
      </c>
      <c r="N3" s="3">
        <v>7.4058115662323107E-2</v>
      </c>
      <c r="O3" s="3">
        <v>2.6884614692288298</v>
      </c>
      <c r="P3" s="3">
        <v>0.131171828772573</v>
      </c>
      <c r="Q3" s="3">
        <v>2.00522951730516</v>
      </c>
      <c r="R3" s="3">
        <v>0.45500000000000002</v>
      </c>
      <c r="S3" s="3">
        <v>1.7351537898810601</v>
      </c>
      <c r="T3" s="3">
        <v>9.0640687811588503</v>
      </c>
      <c r="U3" s="3">
        <v>16.859594068595399</v>
      </c>
      <c r="V3" s="3">
        <v>231.62147254241199</v>
      </c>
      <c r="W3" s="3">
        <v>258.24222536373702</v>
      </c>
      <c r="X3" s="3">
        <v>636.35208317568299</v>
      </c>
      <c r="Y3" s="3">
        <v>1161.14183353414</v>
      </c>
      <c r="Z3" s="3">
        <v>24.115790536556499</v>
      </c>
      <c r="AA3" s="3">
        <v>27.625495811089401</v>
      </c>
      <c r="AB3" s="3">
        <v>34.670549341500099</v>
      </c>
      <c r="AC3" s="3">
        <v>91.277828269877304</v>
      </c>
      <c r="AD3" s="3">
        <v>173.83662683959901</v>
      </c>
      <c r="AE3" s="3">
        <v>57.723012428008602</v>
      </c>
      <c r="AF3" s="7">
        <v>6.4</v>
      </c>
      <c r="AG3" s="7" t="s">
        <v>233</v>
      </c>
      <c r="AH3" s="7" t="s">
        <v>234</v>
      </c>
      <c r="AI3" s="7" t="s">
        <v>235</v>
      </c>
      <c r="AJ3" s="7">
        <v>88</v>
      </c>
      <c r="AK3" s="7" t="s">
        <v>236</v>
      </c>
      <c r="AL3" s="7" t="s">
        <v>237</v>
      </c>
      <c r="AM3" s="7">
        <v>0</v>
      </c>
      <c r="AN3" s="7">
        <v>0.57999999999999996</v>
      </c>
      <c r="AO3" s="7">
        <v>0.04</v>
      </c>
      <c r="AP3" s="7">
        <v>0.02</v>
      </c>
      <c r="AQ3" s="7">
        <v>0.28000000000000003</v>
      </c>
      <c r="AR3" s="7">
        <v>0.08</v>
      </c>
      <c r="AS3">
        <v>256</v>
      </c>
      <c r="AT3" s="7">
        <f t="shared" ref="AT3" si="0">AN3*AF3</f>
        <v>3.7119999999999997</v>
      </c>
      <c r="AU3">
        <f t="shared" ref="AU3" si="1">AQ3*AF3</f>
        <v>1.7920000000000003</v>
      </c>
      <c r="AV3" s="8">
        <f>AS3*AT3/AU3</f>
        <v>530.28571428571422</v>
      </c>
      <c r="AW3" s="8">
        <f t="shared" ref="AW3" si="2">AT3/AU3</f>
        <v>2.0714285714285712</v>
      </c>
    </row>
    <row r="4" spans="1:49" ht="23.4" hidden="1" x14ac:dyDescent="0.45">
      <c r="A4" s="2" t="s">
        <v>136</v>
      </c>
      <c r="B4" s="2" t="s">
        <v>27</v>
      </c>
      <c r="C4" s="2">
        <v>1</v>
      </c>
      <c r="D4" s="2" t="s">
        <v>204</v>
      </c>
      <c r="E4" s="2" t="s">
        <v>210</v>
      </c>
      <c r="F4" s="2" t="s">
        <v>211</v>
      </c>
      <c r="G4" s="2" t="s">
        <v>205</v>
      </c>
      <c r="H4" s="2" t="s">
        <v>207</v>
      </c>
      <c r="I4" s="2" t="s">
        <v>28</v>
      </c>
      <c r="J4" s="3">
        <v>34.820399078600168</v>
      </c>
      <c r="K4" s="3">
        <v>6.133899468211446</v>
      </c>
      <c r="L4" s="3">
        <v>0.21612635078969242</v>
      </c>
      <c r="M4" s="3">
        <v>36.661606930878804</v>
      </c>
      <c r="N4" s="3">
        <v>6.1561193401764837E-2</v>
      </c>
      <c r="O4" s="3">
        <v>3.7177140114938485</v>
      </c>
      <c r="P4" s="3">
        <v>52.032400873181707</v>
      </c>
      <c r="Q4" s="3">
        <v>19.776595695449959</v>
      </c>
      <c r="R4" s="3">
        <v>0.37822111388196178</v>
      </c>
      <c r="S4" s="3">
        <v>0.36575228595178716</v>
      </c>
      <c r="T4" s="3">
        <v>1.0723192019950125</v>
      </c>
      <c r="U4" s="3">
        <v>35.265915813312965</v>
      </c>
      <c r="V4" s="3">
        <v>49.74470454184447</v>
      </c>
      <c r="W4" s="3">
        <v>744.72459377694679</v>
      </c>
      <c r="X4" s="3">
        <v>9.176687192511471</v>
      </c>
      <c r="Y4" s="3">
        <v>549.13306106996004</v>
      </c>
      <c r="Z4" s="3">
        <v>3.0474564744810388</v>
      </c>
      <c r="AA4" s="3">
        <v>2.2402327514546965</v>
      </c>
      <c r="AB4" s="3">
        <v>0.83125519534497083</v>
      </c>
      <c r="AC4" s="3">
        <v>16.209476309226932</v>
      </c>
      <c r="AD4" s="3">
        <v>1.288445552784705</v>
      </c>
      <c r="AE4" s="3">
        <v>2.6146268201100331</v>
      </c>
    </row>
    <row r="5" spans="1:49" ht="23.4" hidden="1" x14ac:dyDescent="0.45">
      <c r="A5" s="2" t="s">
        <v>138</v>
      </c>
      <c r="B5" s="2" t="s">
        <v>27</v>
      </c>
      <c r="C5" s="2">
        <v>1</v>
      </c>
      <c r="D5" s="2" t="s">
        <v>204</v>
      </c>
      <c r="E5" s="2" t="s">
        <v>210</v>
      </c>
      <c r="F5" s="2" t="s">
        <v>211</v>
      </c>
      <c r="G5" s="2" t="s">
        <v>205</v>
      </c>
      <c r="H5" s="2" t="s">
        <v>207</v>
      </c>
      <c r="I5" s="2" t="s">
        <v>139</v>
      </c>
      <c r="J5" s="3">
        <v>110.19706562307084</v>
      </c>
      <c r="K5" s="3">
        <v>19.992631640299791</v>
      </c>
      <c r="L5" s="3">
        <v>0.26694045174537984</v>
      </c>
      <c r="M5" s="3">
        <v>262.24332818566319</v>
      </c>
      <c r="N5" s="3">
        <v>0.58682194257718168</v>
      </c>
      <c r="O5" s="3">
        <v>7.7300327671524434</v>
      </c>
      <c r="P5" s="3">
        <v>79.352085124716922</v>
      </c>
      <c r="Q5" s="3">
        <v>866.84630598637261</v>
      </c>
      <c r="R5" s="3">
        <v>0.46714579055441474</v>
      </c>
      <c r="S5" s="3">
        <v>1.0922068316574434</v>
      </c>
      <c r="T5" s="3">
        <v>21.192586733242194</v>
      </c>
      <c r="U5" s="3">
        <v>78.925403627992097</v>
      </c>
      <c r="V5" s="3">
        <v>7985.4683547972782</v>
      </c>
      <c r="W5" s="3">
        <v>2884.515505554743</v>
      </c>
      <c r="X5" s="3">
        <v>139.84753804272279</v>
      </c>
      <c r="Y5" s="3">
        <v>39082.718205972997</v>
      </c>
      <c r="Z5" s="3">
        <v>42.245798954216113</v>
      </c>
      <c r="AA5" s="3">
        <v>13.794595654401745</v>
      </c>
      <c r="AB5" s="3">
        <v>419.37230070735109</v>
      </c>
      <c r="AC5" s="3">
        <v>391.48615518630902</v>
      </c>
      <c r="AD5" s="3">
        <v>27.042286012012937</v>
      </c>
      <c r="AE5" s="3">
        <v>17.341577973829672</v>
      </c>
    </row>
    <row r="6" spans="1:49" ht="23.4" hidden="1" x14ac:dyDescent="0.45">
      <c r="A6" s="2" t="s">
        <v>113</v>
      </c>
      <c r="B6" s="2" t="s">
        <v>86</v>
      </c>
      <c r="C6" s="2">
        <v>1</v>
      </c>
      <c r="D6" s="2" t="s">
        <v>204</v>
      </c>
      <c r="E6" s="2" t="s">
        <v>210</v>
      </c>
      <c r="F6" s="2" t="s">
        <v>211</v>
      </c>
      <c r="G6" s="2" t="s">
        <v>205</v>
      </c>
      <c r="H6" s="2" t="s">
        <v>207</v>
      </c>
      <c r="I6" s="2" t="s">
        <v>30</v>
      </c>
      <c r="J6" s="3">
        <v>26.549065122091253</v>
      </c>
      <c r="K6" s="3">
        <v>25.949883833726851</v>
      </c>
      <c r="L6" s="3">
        <v>6.7681358200639643</v>
      </c>
      <c r="M6" s="3">
        <v>2.6051360960855305</v>
      </c>
      <c r="N6" s="3">
        <v>0.4452642754127823</v>
      </c>
      <c r="O6" s="3">
        <v>10.5292546898054</v>
      </c>
      <c r="P6" s="3">
        <v>1.8910766222038142</v>
      </c>
      <c r="Q6" s="3">
        <v>2.5361535661626839</v>
      </c>
      <c r="R6" s="3">
        <v>2.5709508906717811</v>
      </c>
      <c r="S6" s="3">
        <v>8.8760642017809985</v>
      </c>
      <c r="T6" s="3">
        <v>29.335707356717421</v>
      </c>
      <c r="U6" s="3">
        <v>63.875078311949622</v>
      </c>
      <c r="V6" s="3">
        <v>516.53791460123273</v>
      </c>
      <c r="W6" s="3">
        <v>288.70868106897512</v>
      </c>
      <c r="X6" s="3">
        <v>798.62981794768586</v>
      </c>
      <c r="Y6" s="3">
        <v>2717.5177167929037</v>
      </c>
      <c r="Z6" s="3">
        <v>46.85602030946832</v>
      </c>
      <c r="AA6" s="3">
        <v>42.667491628398352</v>
      </c>
      <c r="AB6" s="3">
        <v>75.5625</v>
      </c>
      <c r="AC6" s="3">
        <v>140.4383</v>
      </c>
      <c r="AD6" s="3">
        <v>371.0301</v>
      </c>
      <c r="AE6" s="3">
        <v>228.85589999999999</v>
      </c>
      <c r="AF6" s="7">
        <v>7.5</v>
      </c>
      <c r="AG6" s="7" t="s">
        <v>233</v>
      </c>
      <c r="AH6" s="7" t="s">
        <v>238</v>
      </c>
      <c r="AI6" s="7" t="s">
        <v>239</v>
      </c>
      <c r="AJ6" s="7">
        <v>90</v>
      </c>
      <c r="AK6" s="7" t="s">
        <v>240</v>
      </c>
      <c r="AL6" s="7" t="s">
        <v>241</v>
      </c>
      <c r="AM6" s="7">
        <v>0</v>
      </c>
      <c r="AN6" s="7">
        <v>0.57999999999999996</v>
      </c>
      <c r="AO6" s="7">
        <v>0.04</v>
      </c>
      <c r="AP6" s="7">
        <v>0.02</v>
      </c>
      <c r="AQ6" s="7">
        <v>0.31</v>
      </c>
      <c r="AR6" s="7">
        <v>0.05</v>
      </c>
      <c r="AS6">
        <v>255</v>
      </c>
      <c r="AT6" s="7">
        <f t="shared" ref="AT6" si="3">AN6*AF6</f>
        <v>4.3499999999999996</v>
      </c>
      <c r="AU6">
        <f t="shared" ref="AU6" si="4">AQ6*AF6</f>
        <v>2.3250000000000002</v>
      </c>
      <c r="AV6" s="8">
        <f>AS6*AT6/AU6</f>
        <v>477.09677419354836</v>
      </c>
      <c r="AW6" s="8">
        <f t="shared" ref="AW6" si="5">AT6/AU6</f>
        <v>1.8709677419354835</v>
      </c>
    </row>
    <row r="7" spans="1:49" ht="23.4" hidden="1" x14ac:dyDescent="0.45">
      <c r="A7" s="2" t="s">
        <v>57</v>
      </c>
      <c r="B7" s="2" t="s">
        <v>27</v>
      </c>
      <c r="C7" s="2">
        <v>3</v>
      </c>
      <c r="D7" s="2" t="s">
        <v>205</v>
      </c>
      <c r="E7" s="2" t="s">
        <v>211</v>
      </c>
      <c r="F7" s="2" t="s">
        <v>210</v>
      </c>
      <c r="G7" s="2" t="s">
        <v>205</v>
      </c>
      <c r="H7" s="2" t="s">
        <v>207</v>
      </c>
      <c r="I7" s="2" t="s">
        <v>56</v>
      </c>
      <c r="J7" s="3">
        <v>35.511910019756712</v>
      </c>
      <c r="K7" s="3">
        <v>24.904044548578671</v>
      </c>
      <c r="L7" s="3">
        <v>4.0209979659024224</v>
      </c>
      <c r="M7" s="3">
        <v>49.10471381236755</v>
      </c>
      <c r="N7" s="3">
        <v>0.15820000000000001</v>
      </c>
      <c r="O7" s="3">
        <v>13.823829096274755</v>
      </c>
      <c r="P7" s="3">
        <v>214.41237117002021</v>
      </c>
      <c r="Q7" s="3">
        <v>265.36270911301608</v>
      </c>
      <c r="R7" s="3">
        <v>0.1729</v>
      </c>
      <c r="S7" s="3">
        <v>0.68727230548701768</v>
      </c>
      <c r="T7" s="3">
        <v>57.494415835699243</v>
      </c>
      <c r="U7" s="3">
        <v>14.424242195972351</v>
      </c>
      <c r="V7" s="3">
        <v>756.13176400429859</v>
      </c>
      <c r="W7" s="3">
        <v>1582.4687559055458</v>
      </c>
      <c r="X7" s="3">
        <v>46.583335102125325</v>
      </c>
      <c r="Y7" s="3">
        <v>15886.699483560667</v>
      </c>
      <c r="Z7" s="3">
        <v>35.448678127229371</v>
      </c>
      <c r="AA7" s="3">
        <v>20.831468478189443</v>
      </c>
      <c r="AB7" s="3">
        <v>36.656741026441232</v>
      </c>
      <c r="AC7" s="3">
        <v>51.078810358650124</v>
      </c>
      <c r="AD7" s="3">
        <v>3.8542981327131134</v>
      </c>
      <c r="AE7" s="3">
        <v>210.99684103290957</v>
      </c>
    </row>
    <row r="8" spans="1:49" ht="23.4" hidden="1" x14ac:dyDescent="0.45">
      <c r="A8" s="2" t="s">
        <v>140</v>
      </c>
      <c r="B8" s="2" t="s">
        <v>27</v>
      </c>
      <c r="C8" s="2">
        <v>3</v>
      </c>
      <c r="D8" s="2" t="s">
        <v>205</v>
      </c>
      <c r="E8" s="2" t="s">
        <v>211</v>
      </c>
      <c r="F8" s="2" t="s">
        <v>210</v>
      </c>
      <c r="G8" s="2" t="s">
        <v>205</v>
      </c>
      <c r="H8" s="2" t="s">
        <v>207</v>
      </c>
      <c r="I8" s="2" t="s">
        <v>28</v>
      </c>
      <c r="J8" s="3">
        <v>27.715748027299536</v>
      </c>
      <c r="K8" s="3">
        <v>11.650295423429064</v>
      </c>
      <c r="L8" s="3">
        <v>0.3987730061349693</v>
      </c>
      <c r="M8" s="3">
        <v>107.46442062891717</v>
      </c>
      <c r="N8" s="3">
        <v>0.11358606696675323</v>
      </c>
      <c r="O8" s="3">
        <v>9.0067653930745237</v>
      </c>
      <c r="P8" s="3">
        <v>404.54230183031285</v>
      </c>
      <c r="Q8" s="3">
        <v>1487.8052901789324</v>
      </c>
      <c r="R8" s="3">
        <v>0.69785276073619629</v>
      </c>
      <c r="S8" s="3">
        <v>0.67484662576687116</v>
      </c>
      <c r="T8" s="3">
        <v>1.9785276073619631</v>
      </c>
      <c r="U8" s="3">
        <v>55.442752078305212</v>
      </c>
      <c r="V8" s="3">
        <v>213.08171869760582</v>
      </c>
      <c r="W8" s="3">
        <v>671.20366970788029</v>
      </c>
      <c r="X8" s="3">
        <v>81.002402871867176</v>
      </c>
      <c r="Y8" s="3">
        <v>2784.8197174039419</v>
      </c>
      <c r="Z8" s="3">
        <v>1.9392222441887423</v>
      </c>
      <c r="AA8" s="3">
        <v>10.506079228279708</v>
      </c>
      <c r="AB8" s="3">
        <v>1.5337423312883436</v>
      </c>
      <c r="AC8" s="3">
        <v>187.11080648973771</v>
      </c>
      <c r="AD8" s="3">
        <v>2.3773006134969323</v>
      </c>
      <c r="AE8" s="3">
        <v>25.067889683093096</v>
      </c>
    </row>
    <row r="9" spans="1:49" ht="23.4" hidden="1" x14ac:dyDescent="0.45">
      <c r="A9" s="2" t="s">
        <v>141</v>
      </c>
      <c r="B9" s="2" t="s">
        <v>27</v>
      </c>
      <c r="C9" s="2">
        <v>3</v>
      </c>
      <c r="D9" s="2" t="s">
        <v>205</v>
      </c>
      <c r="E9" s="2" t="s">
        <v>211</v>
      </c>
      <c r="F9" s="2" t="s">
        <v>210</v>
      </c>
      <c r="G9" s="2" t="s">
        <v>205</v>
      </c>
      <c r="H9" s="2" t="s">
        <v>207</v>
      </c>
      <c r="I9" s="2" t="s">
        <v>139</v>
      </c>
      <c r="J9" s="3">
        <v>110.67751611890732</v>
      </c>
      <c r="K9" s="3">
        <v>11.283025741528602</v>
      </c>
      <c r="L9" s="3">
        <v>13.112835866600745</v>
      </c>
      <c r="M9" s="3">
        <v>64.313403970536754</v>
      </c>
      <c r="N9" s="3">
        <v>0.48743583882512997</v>
      </c>
      <c r="O9" s="3">
        <v>15.524468231636758</v>
      </c>
      <c r="P9" s="3">
        <v>1491.2431028349258</v>
      </c>
      <c r="Q9" s="3">
        <v>779.70159556760905</v>
      </c>
      <c r="R9" s="3">
        <v>0.56311881188118817</v>
      </c>
      <c r="S9" s="3">
        <v>0.54455445544554459</v>
      </c>
      <c r="T9" s="3">
        <v>14.522479114943071</v>
      </c>
      <c r="U9" s="3">
        <v>55.092513115938743</v>
      </c>
      <c r="V9" s="3">
        <v>6940.3495337804834</v>
      </c>
      <c r="W9" s="3">
        <v>874.16616382208679</v>
      </c>
      <c r="X9" s="3">
        <v>179.48101366613244</v>
      </c>
      <c r="Y9" s="3">
        <v>70658.797914451236</v>
      </c>
      <c r="Z9" s="3">
        <v>51.99521937647971</v>
      </c>
      <c r="AA9" s="3">
        <v>59.654163374244554</v>
      </c>
      <c r="AB9" s="3">
        <v>260.40638373949633</v>
      </c>
      <c r="AC9" s="3">
        <v>1066.1957394642427</v>
      </c>
      <c r="AD9" s="3">
        <v>1.9183168316831685</v>
      </c>
      <c r="AE9" s="3">
        <v>33.679115819150375</v>
      </c>
    </row>
    <row r="10" spans="1:49" ht="23.4" hidden="1" x14ac:dyDescent="0.45">
      <c r="A10" s="2" t="s">
        <v>174</v>
      </c>
      <c r="B10" s="2" t="s">
        <v>86</v>
      </c>
      <c r="C10" s="2">
        <v>3</v>
      </c>
      <c r="D10" s="2" t="s">
        <v>205</v>
      </c>
      <c r="E10" s="2" t="s">
        <v>211</v>
      </c>
      <c r="F10" s="2" t="s">
        <v>210</v>
      </c>
      <c r="G10" s="2" t="s">
        <v>205</v>
      </c>
      <c r="H10" s="2" t="s">
        <v>207</v>
      </c>
      <c r="I10" s="2" t="s">
        <v>137</v>
      </c>
      <c r="J10" s="3">
        <v>363.57989026193002</v>
      </c>
      <c r="K10" s="3">
        <v>14.7012647967086</v>
      </c>
      <c r="L10" s="3">
        <v>6.1429069336440003</v>
      </c>
      <c r="M10" s="3">
        <v>2.1587982822921701</v>
      </c>
      <c r="N10" s="3">
        <v>0.50032730431944095</v>
      </c>
      <c r="O10" s="3">
        <v>4.31669973832929</v>
      </c>
      <c r="P10" s="3">
        <v>4.2981697067908504</v>
      </c>
      <c r="Q10" s="3">
        <v>3.3662545861084499</v>
      </c>
      <c r="R10" s="3">
        <v>16.126999383116299</v>
      </c>
      <c r="S10" s="3">
        <v>8.0091525802476191</v>
      </c>
      <c r="T10" s="3">
        <v>1.29</v>
      </c>
      <c r="U10" s="3">
        <v>58.818979101760597</v>
      </c>
      <c r="V10" s="3">
        <v>600.90735332736699</v>
      </c>
      <c r="W10" s="3">
        <v>428.100278561658</v>
      </c>
      <c r="X10" s="3">
        <v>1016.39467325492</v>
      </c>
      <c r="Y10" s="3">
        <v>19985.9392400092</v>
      </c>
      <c r="Z10" s="3">
        <v>28.375987872222201</v>
      </c>
      <c r="AA10" s="3">
        <v>40.9212052699257</v>
      </c>
      <c r="AB10" s="3">
        <v>97.425716926440799</v>
      </c>
      <c r="AC10" s="3">
        <v>41.081011949687003</v>
      </c>
      <c r="AD10" s="3">
        <v>248.96468494777801</v>
      </c>
      <c r="AE10" s="3">
        <v>70.652855583697701</v>
      </c>
      <c r="AF10" s="7">
        <v>9.3000000000000007</v>
      </c>
      <c r="AG10" s="7" t="s">
        <v>242</v>
      </c>
      <c r="AH10" s="7">
        <v>15</v>
      </c>
      <c r="AI10" s="7" t="s">
        <v>243</v>
      </c>
      <c r="AJ10" s="7">
        <v>88</v>
      </c>
      <c r="AK10" s="7">
        <v>30</v>
      </c>
      <c r="AL10" s="7" t="s">
        <v>244</v>
      </c>
      <c r="AM10" s="7">
        <v>0</v>
      </c>
      <c r="AN10" s="9">
        <v>78</v>
      </c>
      <c r="AO10" s="7">
        <v>2</v>
      </c>
      <c r="AP10" s="7">
        <v>1</v>
      </c>
      <c r="AQ10" s="7">
        <v>12</v>
      </c>
      <c r="AR10" s="7">
        <v>7</v>
      </c>
      <c r="AS10" s="7">
        <v>155</v>
      </c>
      <c r="AT10" s="7">
        <f>AN10*AF10</f>
        <v>725.40000000000009</v>
      </c>
      <c r="AU10">
        <f>AQ10*AF10</f>
        <v>111.60000000000001</v>
      </c>
      <c r="AV10" s="8">
        <f>(AS10*AT10)/AU10</f>
        <v>1007.5</v>
      </c>
      <c r="AW10" s="8">
        <f t="shared" ref="AW10:AW11" si="6">AT10/AU10</f>
        <v>6.5</v>
      </c>
    </row>
    <row r="11" spans="1:49" ht="23.4" hidden="1" x14ac:dyDescent="0.45">
      <c r="A11" s="2" t="s">
        <v>114</v>
      </c>
      <c r="B11" s="2" t="s">
        <v>86</v>
      </c>
      <c r="C11" s="2">
        <v>4</v>
      </c>
      <c r="D11" s="2" t="s">
        <v>204</v>
      </c>
      <c r="E11" s="2" t="s">
        <v>211</v>
      </c>
      <c r="F11" s="2" t="s">
        <v>211</v>
      </c>
      <c r="G11" s="2" t="s">
        <v>214</v>
      </c>
      <c r="H11" s="2" t="s">
        <v>207</v>
      </c>
      <c r="I11" s="2" t="s">
        <v>30</v>
      </c>
      <c r="J11" s="3">
        <v>432.29657116197484</v>
      </c>
      <c r="K11" s="3">
        <v>27.267597177638997</v>
      </c>
      <c r="L11" s="3">
        <v>45.342396733842577</v>
      </c>
      <c r="M11" s="3">
        <v>2.3519283233712267</v>
      </c>
      <c r="N11" s="3">
        <v>0.79383699192251189</v>
      </c>
      <c r="O11" s="3">
        <v>7.1247743305320625</v>
      </c>
      <c r="P11" s="3">
        <v>2.7724031635968869</v>
      </c>
      <c r="Q11" s="3">
        <v>4.3153673310134861</v>
      </c>
      <c r="R11" s="3">
        <v>44.166412589140698</v>
      </c>
      <c r="S11" s="3">
        <v>21.769861825073544</v>
      </c>
      <c r="T11" s="3">
        <v>82.716608967329904</v>
      </c>
      <c r="U11" s="3">
        <v>65.382634327990303</v>
      </c>
      <c r="V11" s="3">
        <v>511.78582266304824</v>
      </c>
      <c r="W11" s="3">
        <v>571.04155266784517</v>
      </c>
      <c r="X11" s="3">
        <v>740.79568504374527</v>
      </c>
      <c r="Y11" s="3">
        <v>11363.63422842309</v>
      </c>
      <c r="Z11" s="3">
        <v>26.396149322881623</v>
      </c>
      <c r="AA11" s="3">
        <v>57.06211535976928</v>
      </c>
      <c r="AB11" s="3">
        <v>107.172</v>
      </c>
      <c r="AC11" s="3">
        <v>222.76059999999998</v>
      </c>
      <c r="AD11" s="3">
        <v>447.32099999999997</v>
      </c>
      <c r="AE11" s="3">
        <v>171.25289999999998</v>
      </c>
      <c r="AF11" s="7">
        <v>9.3000000000000007</v>
      </c>
      <c r="AG11" s="7" t="s">
        <v>252</v>
      </c>
      <c r="AH11" s="7" t="s">
        <v>253</v>
      </c>
      <c r="AI11" s="7" t="s">
        <v>254</v>
      </c>
      <c r="AJ11" s="7">
        <v>93</v>
      </c>
      <c r="AK11" s="7" t="s">
        <v>255</v>
      </c>
      <c r="AL11" s="7" t="s">
        <v>256</v>
      </c>
      <c r="AM11" s="7">
        <v>0</v>
      </c>
      <c r="AN11" s="7">
        <v>0.67</v>
      </c>
      <c r="AO11" s="7" t="s">
        <v>257</v>
      </c>
      <c r="AP11" s="7" t="s">
        <v>251</v>
      </c>
      <c r="AQ11" s="7">
        <v>0.22</v>
      </c>
      <c r="AR11" s="7">
        <v>7</v>
      </c>
      <c r="AS11">
        <v>270</v>
      </c>
      <c r="AT11" s="7">
        <f t="shared" ref="AT11" si="7">AN11*AF11</f>
        <v>6.2310000000000008</v>
      </c>
      <c r="AU11">
        <f t="shared" ref="AU11" si="8">AQ11*AF11</f>
        <v>2.0460000000000003</v>
      </c>
      <c r="AV11" s="8">
        <f t="shared" ref="AV11" si="9">(AS11*AT11)/AU11</f>
        <v>822.27272727272725</v>
      </c>
      <c r="AW11" s="8">
        <f t="shared" si="6"/>
        <v>3.0454545454545454</v>
      </c>
    </row>
    <row r="12" spans="1:49" ht="23.4" hidden="1" x14ac:dyDescent="0.45">
      <c r="A12" s="2" t="s">
        <v>142</v>
      </c>
      <c r="B12" s="2" t="s">
        <v>27</v>
      </c>
      <c r="C12" s="2">
        <v>4</v>
      </c>
      <c r="D12" s="2" t="s">
        <v>204</v>
      </c>
      <c r="E12" s="2" t="s">
        <v>211</v>
      </c>
      <c r="F12" s="2" t="s">
        <v>211</v>
      </c>
      <c r="G12" s="2" t="s">
        <v>214</v>
      </c>
      <c r="H12" s="2" t="s">
        <v>207</v>
      </c>
      <c r="I12" s="2" t="s">
        <v>28</v>
      </c>
      <c r="J12" s="3">
        <v>167.79399241421996</v>
      </c>
      <c r="K12" s="3">
        <v>11.277152282402492</v>
      </c>
      <c r="L12" s="3">
        <v>0.76836497050356978</v>
      </c>
      <c r="M12" s="3">
        <v>91.775284058094883</v>
      </c>
      <c r="N12" s="3">
        <v>0.30802868831352131</v>
      </c>
      <c r="O12" s="3">
        <v>11.292753371449546</v>
      </c>
      <c r="P12" s="3">
        <v>327.43884255707189</v>
      </c>
      <c r="Q12" s="3">
        <v>98.868181497175385</v>
      </c>
      <c r="R12" s="3">
        <v>0.21801629132726405</v>
      </c>
      <c r="S12" s="3">
        <v>1.1530896625432487</v>
      </c>
      <c r="T12" s="3">
        <v>14.650594768536514</v>
      </c>
      <c r="U12" s="3">
        <v>34.280305656387306</v>
      </c>
      <c r="V12" s="3">
        <v>150.80930211292863</v>
      </c>
      <c r="W12" s="3">
        <v>20803.808470317686</v>
      </c>
      <c r="X12" s="3">
        <v>286.00805589096024</v>
      </c>
      <c r="Y12" s="3">
        <v>1378.5730161049978</v>
      </c>
      <c r="Z12" s="3">
        <v>4.7205884231596276</v>
      </c>
      <c r="AA12" s="3">
        <v>6.9703316613177302</v>
      </c>
      <c r="AB12" s="3">
        <v>6.6740691983668912</v>
      </c>
      <c r="AC12" s="3">
        <v>43.392844971017688</v>
      </c>
      <c r="AD12" s="3">
        <v>0.74269286056540496</v>
      </c>
      <c r="AE12" s="3">
        <v>0.97366554999328714</v>
      </c>
    </row>
    <row r="13" spans="1:49" ht="23.4" hidden="1" x14ac:dyDescent="0.45">
      <c r="A13" s="2" t="s">
        <v>143</v>
      </c>
      <c r="B13" s="2" t="s">
        <v>27</v>
      </c>
      <c r="C13" s="2">
        <v>4</v>
      </c>
      <c r="D13" s="2" t="s">
        <v>204</v>
      </c>
      <c r="E13" s="2" t="s">
        <v>211</v>
      </c>
      <c r="F13" s="2" t="s">
        <v>211</v>
      </c>
      <c r="G13" s="2" t="s">
        <v>214</v>
      </c>
      <c r="H13" s="2" t="s">
        <v>207</v>
      </c>
      <c r="I13" s="2" t="s">
        <v>139</v>
      </c>
      <c r="J13" s="3">
        <v>48.23466234364934</v>
      </c>
      <c r="K13" s="3">
        <v>7.5941124206619532</v>
      </c>
      <c r="L13" s="3">
        <v>0.43046357615894043</v>
      </c>
      <c r="M13" s="3">
        <v>119.85923534592038</v>
      </c>
      <c r="N13" s="3">
        <v>1.0642414566571341</v>
      </c>
      <c r="O13" s="3">
        <v>8.8325210452803482</v>
      </c>
      <c r="P13" s="3">
        <v>17.485507523936093</v>
      </c>
      <c r="Q13" s="3">
        <v>121.21827056852138</v>
      </c>
      <c r="R13" s="3">
        <v>0.75331125827814571</v>
      </c>
      <c r="S13" s="3">
        <v>0.72847682119205304</v>
      </c>
      <c r="T13" s="3">
        <v>4.6800443237913747</v>
      </c>
      <c r="U13" s="3">
        <v>12.067841117134206</v>
      </c>
      <c r="V13" s="3">
        <v>146.52760835503909</v>
      </c>
      <c r="W13" s="3">
        <v>3993.1472996803814</v>
      </c>
      <c r="X13" s="3">
        <v>8.0481920811627159</v>
      </c>
      <c r="Y13" s="3">
        <v>1954.4365303546522</v>
      </c>
      <c r="Z13" s="3">
        <v>10.80423278958664</v>
      </c>
      <c r="AA13" s="3">
        <v>2.2667793128381293</v>
      </c>
      <c r="AB13" s="3">
        <v>1.6556291390728477</v>
      </c>
      <c r="AC13" s="3">
        <v>32.284768211920529</v>
      </c>
      <c r="AD13" s="3">
        <v>2.5662251655629142</v>
      </c>
      <c r="AE13" s="3">
        <v>10.936060322364238</v>
      </c>
    </row>
    <row r="14" spans="1:49" ht="23.4" hidden="1" x14ac:dyDescent="0.45">
      <c r="A14" s="2" t="s">
        <v>175</v>
      </c>
      <c r="B14" s="2" t="s">
        <v>86</v>
      </c>
      <c r="C14" s="2">
        <v>4</v>
      </c>
      <c r="D14" s="2" t="s">
        <v>204</v>
      </c>
      <c r="E14" s="2" t="s">
        <v>211</v>
      </c>
      <c r="F14" s="2" t="s">
        <v>211</v>
      </c>
      <c r="G14" s="2" t="s">
        <v>214</v>
      </c>
      <c r="H14" s="2" t="s">
        <v>207</v>
      </c>
      <c r="I14" s="2" t="s">
        <v>137</v>
      </c>
      <c r="J14" s="3">
        <v>254.79133491545801</v>
      </c>
      <c r="K14" s="3">
        <v>5.2266328432761</v>
      </c>
      <c r="L14" s="3">
        <v>45.836294490973799</v>
      </c>
      <c r="M14" s="3">
        <v>2.9877604338294099</v>
      </c>
      <c r="N14" s="3">
        <v>7.4058115662323107E-2</v>
      </c>
      <c r="O14" s="3">
        <v>0.58901184415181496</v>
      </c>
      <c r="P14" s="3">
        <v>2.5007433169432098</v>
      </c>
      <c r="Q14" s="3">
        <v>4.1815913655072698</v>
      </c>
      <c r="R14" s="3">
        <v>0.88286228091567798</v>
      </c>
      <c r="S14" s="3">
        <v>0.44</v>
      </c>
      <c r="T14" s="3">
        <v>1.29</v>
      </c>
      <c r="U14" s="3">
        <v>67.024906382277194</v>
      </c>
      <c r="V14" s="3">
        <v>644.85376388590703</v>
      </c>
      <c r="W14" s="3">
        <v>1597.7597499189401</v>
      </c>
      <c r="X14" s="3">
        <v>810.85209310978996</v>
      </c>
      <c r="Y14" s="3">
        <v>3006.6267599653702</v>
      </c>
      <c r="Z14" s="3">
        <v>16.571380323811301</v>
      </c>
      <c r="AA14" s="3">
        <v>96.261028131961496</v>
      </c>
      <c r="AB14" s="3">
        <v>66.358729310052993</v>
      </c>
      <c r="AC14" s="3">
        <v>64.759410172467</v>
      </c>
      <c r="AD14" s="3">
        <v>191.12055761600701</v>
      </c>
      <c r="AE14" s="3">
        <v>107.04815902061701</v>
      </c>
      <c r="AF14" s="7">
        <v>7.9</v>
      </c>
      <c r="AG14" s="7" t="s">
        <v>245</v>
      </c>
      <c r="AH14" s="7" t="s">
        <v>246</v>
      </c>
      <c r="AI14" s="7" t="s">
        <v>247</v>
      </c>
      <c r="AJ14" s="7">
        <v>94</v>
      </c>
      <c r="AK14" s="7" t="s">
        <v>248</v>
      </c>
      <c r="AL14" s="7" t="s">
        <v>249</v>
      </c>
      <c r="AM14" s="7">
        <v>0</v>
      </c>
      <c r="AN14" s="7">
        <v>0.57999999999999996</v>
      </c>
      <c r="AO14" s="7" t="s">
        <v>250</v>
      </c>
      <c r="AP14" s="7" t="s">
        <v>251</v>
      </c>
      <c r="AQ14" s="7">
        <v>0.28999999999999998</v>
      </c>
      <c r="AR14" s="7">
        <v>7</v>
      </c>
      <c r="AS14" s="7">
        <v>246</v>
      </c>
      <c r="AT14" s="7">
        <f t="shared" ref="AT14" si="10">AN14*AF14</f>
        <v>4.5819999999999999</v>
      </c>
      <c r="AU14">
        <f t="shared" ref="AU14" si="11">AQ14*AF14</f>
        <v>2.2909999999999999</v>
      </c>
      <c r="AV14" s="8">
        <f t="shared" ref="AV14" si="12">(AS14*AT14)/AU14</f>
        <v>492</v>
      </c>
      <c r="AW14" s="8">
        <f t="shared" ref="AW14" si="13">AT14/AU14</f>
        <v>2</v>
      </c>
    </row>
    <row r="15" spans="1:49" ht="23.4" hidden="1" x14ac:dyDescent="0.45">
      <c r="A15" s="2" t="s">
        <v>58</v>
      </c>
      <c r="B15" s="2" t="s">
        <v>27</v>
      </c>
      <c r="C15" s="2">
        <v>5</v>
      </c>
      <c r="D15" s="2" t="s">
        <v>205</v>
      </c>
      <c r="E15" s="2"/>
      <c r="F15" s="2" t="s">
        <v>211</v>
      </c>
      <c r="G15" s="2" t="s">
        <v>205</v>
      </c>
      <c r="H15" s="2" t="s">
        <v>207</v>
      </c>
      <c r="I15" s="2" t="s">
        <v>56</v>
      </c>
      <c r="J15" s="3">
        <v>45.084203051672354</v>
      </c>
      <c r="K15" s="3">
        <v>7.1525009760903799</v>
      </c>
      <c r="L15" s="3">
        <v>4.9341257180331848</v>
      </c>
      <c r="M15" s="3">
        <v>57.692974114757597</v>
      </c>
      <c r="N15" s="3">
        <v>0.33070299743817805</v>
      </c>
      <c r="O15" s="3">
        <v>2.4238487669250754</v>
      </c>
      <c r="P15" s="3">
        <v>516.48972384647811</v>
      </c>
      <c r="Q15" s="3">
        <v>154.4192952621957</v>
      </c>
      <c r="R15" s="3">
        <v>0.1729</v>
      </c>
      <c r="S15" s="3">
        <v>1.1437238420832438</v>
      </c>
      <c r="T15" s="3">
        <v>29.291209974787328</v>
      </c>
      <c r="U15" s="3">
        <v>15.654322620106472</v>
      </c>
      <c r="V15" s="3">
        <v>146.71723675478748</v>
      </c>
      <c r="W15" s="3">
        <v>2065.5914505062183</v>
      </c>
      <c r="X15" s="3">
        <v>108.07184736594306</v>
      </c>
      <c r="Y15" s="3">
        <v>3224.1867177443919</v>
      </c>
      <c r="Z15" s="3">
        <v>13.487883263874673</v>
      </c>
      <c r="AA15" s="3">
        <v>4.4434773138811048</v>
      </c>
      <c r="AB15" s="3">
        <v>7.8484235976850645</v>
      </c>
      <c r="AC15" s="3">
        <v>67.689162097998391</v>
      </c>
      <c r="AD15" s="3">
        <v>4.5338563430894814</v>
      </c>
      <c r="AE15" s="3">
        <v>9.2456288113536829</v>
      </c>
    </row>
    <row r="16" spans="1:49" ht="23.4" hidden="1" x14ac:dyDescent="0.45">
      <c r="A16" s="2" t="s">
        <v>126</v>
      </c>
      <c r="B16" s="2" t="s">
        <v>86</v>
      </c>
      <c r="C16" s="2">
        <v>5</v>
      </c>
      <c r="D16" s="2" t="s">
        <v>205</v>
      </c>
      <c r="E16" s="2"/>
      <c r="F16" s="2" t="s">
        <v>211</v>
      </c>
      <c r="G16" s="2" t="s">
        <v>205</v>
      </c>
      <c r="H16" s="2" t="s">
        <v>207</v>
      </c>
      <c r="I16" s="2" t="s">
        <v>30</v>
      </c>
      <c r="J16" s="3">
        <v>276.9880607545561</v>
      </c>
      <c r="K16" s="3">
        <v>10.209759493364489</v>
      </c>
      <c r="L16" s="3">
        <v>6.7681358200639643</v>
      </c>
      <c r="M16" s="3">
        <v>1.4283501617265213</v>
      </c>
      <c r="N16" s="3">
        <v>0.56264582768743621</v>
      </c>
      <c r="O16" s="3">
        <v>5.8201393325124107</v>
      </c>
      <c r="P16" s="3">
        <v>3.5583324448536588</v>
      </c>
      <c r="Q16" s="3">
        <v>0.18173144827675228</v>
      </c>
      <c r="R16" s="3">
        <v>3.3483172756247237</v>
      </c>
      <c r="S16" s="3">
        <v>12.220245103630246</v>
      </c>
      <c r="T16" s="3">
        <v>55.718168371049643</v>
      </c>
      <c r="U16" s="3">
        <v>61.038194445936384</v>
      </c>
      <c r="V16" s="3">
        <v>1278.8015133301462</v>
      </c>
      <c r="W16" s="3">
        <v>388.36498894052937</v>
      </c>
      <c r="X16" s="3">
        <v>747.67222987755451</v>
      </c>
      <c r="Y16" s="3">
        <v>5931.3209865674899</v>
      </c>
      <c r="Z16" s="3">
        <v>16.651436312733001</v>
      </c>
      <c r="AA16" s="3">
        <v>48.069654855225849</v>
      </c>
      <c r="AB16" s="3">
        <v>0</v>
      </c>
      <c r="AC16" s="3">
        <v>0</v>
      </c>
      <c r="AD16" s="3"/>
      <c r="AE16" s="3"/>
      <c r="AF16">
        <v>10.6</v>
      </c>
      <c r="AG16">
        <v>5.12</v>
      </c>
      <c r="AH16">
        <v>15.2</v>
      </c>
      <c r="AI16">
        <v>44.1</v>
      </c>
      <c r="AJ16">
        <v>86</v>
      </c>
      <c r="AK16">
        <v>29.8</v>
      </c>
      <c r="AL16">
        <v>34.6</v>
      </c>
      <c r="AM16">
        <v>0</v>
      </c>
      <c r="AN16">
        <v>68</v>
      </c>
      <c r="AO16">
        <v>2</v>
      </c>
      <c r="AP16">
        <v>0</v>
      </c>
      <c r="AQ16">
        <v>24</v>
      </c>
      <c r="AR16">
        <v>6</v>
      </c>
      <c r="AS16">
        <v>319</v>
      </c>
      <c r="AT16" s="7">
        <f t="shared" ref="AT16" si="14">AN16*AF16</f>
        <v>720.8</v>
      </c>
      <c r="AU16">
        <f t="shared" ref="AU16" si="15">AQ16*AF16</f>
        <v>254.39999999999998</v>
      </c>
      <c r="AV16" s="8">
        <f t="shared" ref="AV16" si="16">(AS16*AT16)/AU16</f>
        <v>903.83333333333337</v>
      </c>
      <c r="AW16" s="8">
        <f>AT16/AU16</f>
        <v>2.8333333333333335</v>
      </c>
    </row>
    <row r="17" spans="1:49" ht="23.4" hidden="1" x14ac:dyDescent="0.45">
      <c r="A17" s="2" t="s">
        <v>144</v>
      </c>
      <c r="B17" s="2" t="s">
        <v>27</v>
      </c>
      <c r="C17" s="2">
        <v>5</v>
      </c>
      <c r="D17" s="2" t="s">
        <v>205</v>
      </c>
      <c r="E17" s="2"/>
      <c r="F17" s="2" t="s">
        <v>211</v>
      </c>
      <c r="G17" s="2" t="s">
        <v>205</v>
      </c>
      <c r="H17" s="2" t="s">
        <v>207</v>
      </c>
      <c r="I17" s="2" t="s">
        <v>28</v>
      </c>
      <c r="J17" s="3">
        <v>49.035535737973859</v>
      </c>
      <c r="K17" s="3">
        <v>2.7608484289439552</v>
      </c>
      <c r="L17" s="3">
        <v>0.1816911250873515</v>
      </c>
      <c r="M17" s="3">
        <v>97.008160873159326</v>
      </c>
      <c r="N17" s="3">
        <v>0.10129678362471489</v>
      </c>
      <c r="O17" s="3">
        <v>1.9949492522119845</v>
      </c>
      <c r="P17" s="3">
        <v>768.15079069782666</v>
      </c>
      <c r="Q17" s="3">
        <v>530.56416423021869</v>
      </c>
      <c r="R17" s="3">
        <v>0.31795946890286514</v>
      </c>
      <c r="S17" s="3">
        <v>0.30747728860936407</v>
      </c>
      <c r="T17" s="3">
        <v>0.90146750524109009</v>
      </c>
      <c r="U17" s="3">
        <v>34.295650915789516</v>
      </c>
      <c r="V17" s="3">
        <v>44.590404716791333</v>
      </c>
      <c r="W17" s="3">
        <v>1101.7156601832216</v>
      </c>
      <c r="X17" s="3">
        <v>60.368217484562265</v>
      </c>
      <c r="Y17" s="3">
        <v>584.51942626458629</v>
      </c>
      <c r="Z17" s="3">
        <v>10.514395789999231</v>
      </c>
      <c r="AA17" s="3">
        <v>1.6520571081166455</v>
      </c>
      <c r="AB17" s="3">
        <v>3.0060605661243467</v>
      </c>
      <c r="AC17" s="3">
        <v>348.50278339520122</v>
      </c>
      <c r="AD17" s="3">
        <v>1.0831586303284417</v>
      </c>
      <c r="AE17" s="3">
        <v>1.420825862735835</v>
      </c>
    </row>
    <row r="18" spans="1:49" ht="23.4" hidden="1" x14ac:dyDescent="0.45">
      <c r="A18" s="2" t="s">
        <v>145</v>
      </c>
      <c r="B18" s="2" t="s">
        <v>27</v>
      </c>
      <c r="C18" s="2">
        <v>5</v>
      </c>
      <c r="D18" s="2" t="s">
        <v>205</v>
      </c>
      <c r="E18" s="2"/>
      <c r="F18" s="2" t="s">
        <v>211</v>
      </c>
      <c r="G18" s="2" t="s">
        <v>205</v>
      </c>
      <c r="H18" s="2" t="s">
        <v>207</v>
      </c>
      <c r="I18" s="2" t="s">
        <v>139</v>
      </c>
      <c r="J18" s="3">
        <v>62.261432518618221</v>
      </c>
      <c r="K18" s="3">
        <v>4.6881280099163662</v>
      </c>
      <c r="L18" s="3">
        <v>0.71666572902646775</v>
      </c>
      <c r="M18" s="3">
        <v>183.70160468741651</v>
      </c>
      <c r="N18" s="3">
        <v>0.20495735255125425</v>
      </c>
      <c r="O18" s="3">
        <v>5.1352226712170497</v>
      </c>
      <c r="P18" s="3">
        <v>102.57090158523339</v>
      </c>
      <c r="Q18" s="3">
        <v>403.10612610814889</v>
      </c>
      <c r="R18" s="3">
        <v>0.43168880455407971</v>
      </c>
      <c r="S18" s="3">
        <v>0.41745730550284627</v>
      </c>
      <c r="T18" s="3">
        <v>2.6819229331783587</v>
      </c>
      <c r="U18" s="3">
        <v>58.661108112022767</v>
      </c>
      <c r="V18" s="3">
        <v>5228.8814618981305</v>
      </c>
      <c r="W18" s="3">
        <v>957.33806929721061</v>
      </c>
      <c r="X18" s="3">
        <v>28.937501042812713</v>
      </c>
      <c r="Y18" s="3">
        <v>25602.099850657589</v>
      </c>
      <c r="Z18" s="3">
        <v>32.515048082797911</v>
      </c>
      <c r="AA18" s="3">
        <v>7.2704122435289271</v>
      </c>
      <c r="AB18" s="3">
        <v>54.618997517681123</v>
      </c>
      <c r="AC18" s="3">
        <v>182.93782978640891</v>
      </c>
      <c r="AD18" s="3">
        <v>1.4705882352941175</v>
      </c>
      <c r="AE18" s="3">
        <v>5.2935499486729602</v>
      </c>
    </row>
    <row r="19" spans="1:49" ht="23.4" hidden="1" x14ac:dyDescent="0.45">
      <c r="A19" s="2" t="s">
        <v>146</v>
      </c>
      <c r="B19" s="2" t="s">
        <v>27</v>
      </c>
      <c r="C19" s="2">
        <v>6</v>
      </c>
      <c r="D19" s="2" t="s">
        <v>204</v>
      </c>
      <c r="E19" s="2"/>
      <c r="F19" s="2" t="s">
        <v>211</v>
      </c>
      <c r="G19" s="2" t="s">
        <v>205</v>
      </c>
      <c r="H19" s="2"/>
      <c r="I19" s="2" t="s">
        <v>28</v>
      </c>
      <c r="J19" s="3">
        <v>84.110256138688442</v>
      </c>
      <c r="K19" s="3">
        <v>7.3923049905155862</v>
      </c>
      <c r="L19" s="3">
        <v>0.29511918274687859</v>
      </c>
      <c r="M19" s="3">
        <v>200.86574392642342</v>
      </c>
      <c r="N19" s="3">
        <v>0.16453541131324292</v>
      </c>
      <c r="O19" s="3">
        <v>9.555183818785336</v>
      </c>
      <c r="P19" s="3">
        <v>322.49931782380258</v>
      </c>
      <c r="Q19" s="3">
        <v>148.27025241276053</v>
      </c>
      <c r="R19" s="3">
        <v>0.51645856980703753</v>
      </c>
      <c r="S19" s="3">
        <v>0.4994324631101022</v>
      </c>
      <c r="T19" s="3">
        <v>10.821685031310331</v>
      </c>
      <c r="U19" s="3">
        <v>41.40542795708275</v>
      </c>
      <c r="V19" s="3">
        <v>77.664845169904311</v>
      </c>
      <c r="W19" s="3">
        <v>806.18721693789337</v>
      </c>
      <c r="X19" s="3">
        <v>36.655472905588653</v>
      </c>
      <c r="Y19" s="3">
        <v>349.19665120709197</v>
      </c>
      <c r="Z19" s="3">
        <v>5.773973378744552</v>
      </c>
      <c r="AA19" s="3">
        <v>3.0590238365493758</v>
      </c>
      <c r="AB19" s="3">
        <v>1.1350737797956869</v>
      </c>
      <c r="AC19" s="3">
        <v>136.22207865697618</v>
      </c>
      <c r="AD19" s="3">
        <v>1.7593643586833148</v>
      </c>
      <c r="AE19" s="3">
        <v>0.58146680533116124</v>
      </c>
    </row>
    <row r="20" spans="1:49" ht="23.4" hidden="1" x14ac:dyDescent="0.45">
      <c r="A20" s="2" t="s">
        <v>147</v>
      </c>
      <c r="B20" s="2" t="s">
        <v>27</v>
      </c>
      <c r="C20" s="2">
        <v>6</v>
      </c>
      <c r="D20" s="2" t="s">
        <v>204</v>
      </c>
      <c r="E20" s="2"/>
      <c r="F20" s="2" t="s">
        <v>211</v>
      </c>
      <c r="G20" s="2" t="s">
        <v>205</v>
      </c>
      <c r="H20" s="2"/>
      <c r="I20" s="2" t="s">
        <v>139</v>
      </c>
      <c r="J20" s="3">
        <v>189.49771210907397</v>
      </c>
      <c r="K20" s="3">
        <v>18.210465572712096</v>
      </c>
      <c r="L20" s="3">
        <v>24.472917004001502</v>
      </c>
      <c r="M20" s="3">
        <v>726.93743024119772</v>
      </c>
      <c r="N20" s="3">
        <v>0.64626730260961385</v>
      </c>
      <c r="O20" s="3">
        <v>43.316521061450601</v>
      </c>
      <c r="P20" s="3">
        <v>275.54983293013925</v>
      </c>
      <c r="Q20" s="3">
        <v>1122.78491334462</v>
      </c>
      <c r="R20" s="3">
        <v>1.3622754491017965</v>
      </c>
      <c r="S20" s="3">
        <v>1.317365269461078</v>
      </c>
      <c r="T20" s="3">
        <v>28.544624289174852</v>
      </c>
      <c r="U20" s="3">
        <v>130.24145853065869</v>
      </c>
      <c r="V20" s="3">
        <v>20162.304099672099</v>
      </c>
      <c r="W20" s="3">
        <v>1414.9101275277606</v>
      </c>
      <c r="X20" s="3">
        <v>178.83898732578058</v>
      </c>
      <c r="Y20" s="3">
        <v>121130.84407321109</v>
      </c>
      <c r="Z20" s="3">
        <v>43.125584569086527</v>
      </c>
      <c r="AA20" s="3">
        <v>10.057044127172487</v>
      </c>
      <c r="AB20" s="3">
        <v>91.485031862345522</v>
      </c>
      <c r="AC20" s="3">
        <v>39.738967475838926</v>
      </c>
      <c r="AD20" s="3">
        <v>4.6407185628742518</v>
      </c>
      <c r="AE20" s="3">
        <v>21.545230101207878</v>
      </c>
    </row>
    <row r="21" spans="1:49" ht="23.4" hidden="1" x14ac:dyDescent="0.45">
      <c r="A21" s="2" t="s">
        <v>59</v>
      </c>
      <c r="B21" s="2" t="s">
        <v>27</v>
      </c>
      <c r="C21" s="2">
        <v>7</v>
      </c>
      <c r="D21" s="2" t="s">
        <v>205</v>
      </c>
      <c r="E21" s="2" t="s">
        <v>210</v>
      </c>
      <c r="F21" s="2" t="s">
        <v>210</v>
      </c>
      <c r="G21" s="2" t="s">
        <v>214</v>
      </c>
      <c r="H21" s="2" t="s">
        <v>207</v>
      </c>
      <c r="I21" s="2" t="s">
        <v>56</v>
      </c>
      <c r="J21" s="3">
        <v>56.909951013319827</v>
      </c>
      <c r="K21" s="3">
        <v>12.230621463647816</v>
      </c>
      <c r="L21" s="3">
        <v>4.0448616899361234</v>
      </c>
      <c r="M21" s="3">
        <v>1014.6354267698221</v>
      </c>
      <c r="N21" s="3">
        <v>0.15820000000000001</v>
      </c>
      <c r="O21" s="3">
        <v>23.974795285235025</v>
      </c>
      <c r="P21" s="3">
        <v>9.8000000000000004E-2</v>
      </c>
      <c r="Q21" s="3">
        <v>98.453019760346109</v>
      </c>
      <c r="R21" s="3">
        <v>0.1729</v>
      </c>
      <c r="S21" s="3">
        <v>1.4574072293660869</v>
      </c>
      <c r="T21" s="3">
        <v>110.715139834075</v>
      </c>
      <c r="U21" s="3">
        <v>66.985138004704183</v>
      </c>
      <c r="V21" s="3">
        <v>338.47830147725824</v>
      </c>
      <c r="W21" s="3">
        <v>6332.7642009800129</v>
      </c>
      <c r="X21" s="3">
        <v>38.298823813002294</v>
      </c>
      <c r="Y21" s="3">
        <v>5158.2718759758927</v>
      </c>
      <c r="Z21" s="3">
        <v>0.25900000000000001</v>
      </c>
      <c r="AA21" s="3">
        <v>16.085591742353056</v>
      </c>
      <c r="AB21" s="3">
        <v>42.884637842318035</v>
      </c>
      <c r="AC21" s="3">
        <v>0.21298534238987413</v>
      </c>
      <c r="AD21" s="3">
        <v>9.6925281535052132</v>
      </c>
      <c r="AE21" s="3">
        <v>31.48936170212766</v>
      </c>
    </row>
    <row r="22" spans="1:49" ht="23.4" hidden="1" x14ac:dyDescent="0.45">
      <c r="A22" s="2" t="s">
        <v>115</v>
      </c>
      <c r="B22" s="2" t="s">
        <v>86</v>
      </c>
      <c r="C22" s="2">
        <v>7</v>
      </c>
      <c r="D22" s="2" t="s">
        <v>205</v>
      </c>
      <c r="E22" s="2" t="s">
        <v>210</v>
      </c>
      <c r="F22" s="2" t="s">
        <v>210</v>
      </c>
      <c r="G22" s="2" t="s">
        <v>214</v>
      </c>
      <c r="H22" s="2" t="s">
        <v>207</v>
      </c>
      <c r="I22" s="2" t="s">
        <v>30</v>
      </c>
      <c r="J22" s="3">
        <v>413.90060570591078</v>
      </c>
      <c r="K22" s="3">
        <v>15.731583282876052</v>
      </c>
      <c r="L22" s="3">
        <v>6.7681358200639643</v>
      </c>
      <c r="M22" s="3">
        <v>11.614092977639075</v>
      </c>
      <c r="N22" s="3">
        <v>0.50395505155010978</v>
      </c>
      <c r="O22" s="3">
        <v>5.8269383955192691</v>
      </c>
      <c r="P22" s="3">
        <v>9.0672321044498396</v>
      </c>
      <c r="Q22" s="3">
        <v>3.8750685233276747</v>
      </c>
      <c r="R22" s="3">
        <v>10.958832795724797</v>
      </c>
      <c r="S22" s="3">
        <v>7.1430879053686382</v>
      </c>
      <c r="T22" s="3">
        <v>9.2969737401661448</v>
      </c>
      <c r="U22" s="3">
        <v>84.667338885518419</v>
      </c>
      <c r="V22" s="3">
        <v>1557.9150267062764</v>
      </c>
      <c r="W22" s="3">
        <v>594.56802093347858</v>
      </c>
      <c r="X22" s="3">
        <v>1121.7025197811331</v>
      </c>
      <c r="Y22" s="3">
        <v>9105.7447568209809</v>
      </c>
      <c r="Z22" s="3">
        <v>35.394926461191787</v>
      </c>
      <c r="AA22" s="3">
        <v>68.947157257079667</v>
      </c>
      <c r="AB22" s="3">
        <v>217.52249999999998</v>
      </c>
      <c r="AC22" s="3">
        <v>57.182199999999995</v>
      </c>
      <c r="AD22" s="3">
        <v>717.03449999999998</v>
      </c>
      <c r="AE22" s="3">
        <v>306.93389999999999</v>
      </c>
      <c r="AF22">
        <v>8.6</v>
      </c>
      <c r="AG22">
        <v>5.36</v>
      </c>
      <c r="AH22">
        <v>16.399999999999999</v>
      </c>
      <c r="AI22">
        <v>50.2</v>
      </c>
      <c r="AJ22" s="7">
        <v>94</v>
      </c>
      <c r="AK22">
        <v>30.6</v>
      </c>
      <c r="AL22">
        <v>32.700000000000003</v>
      </c>
      <c r="AM22" s="7">
        <v>0</v>
      </c>
      <c r="AN22" s="7">
        <v>0.69</v>
      </c>
      <c r="AO22" s="7">
        <v>2</v>
      </c>
      <c r="AP22" s="7">
        <v>1</v>
      </c>
      <c r="AQ22" s="7">
        <v>0.15</v>
      </c>
      <c r="AR22" s="7">
        <v>13</v>
      </c>
      <c r="AS22" s="7">
        <v>244</v>
      </c>
      <c r="AT22" s="7">
        <f t="shared" ref="AT22" si="17">AN22*AF22</f>
        <v>5.9339999999999993</v>
      </c>
      <c r="AU22">
        <f t="shared" ref="AU22" si="18">AQ22*AF22</f>
        <v>1.2899999999999998</v>
      </c>
      <c r="AV22" s="8">
        <f t="shared" ref="AV22" si="19">(AS22*AT22)/AU22</f>
        <v>1122.3999999999999</v>
      </c>
      <c r="AW22" s="8">
        <f>AT22/AU22</f>
        <v>4.6000000000000005</v>
      </c>
    </row>
    <row r="23" spans="1:49" ht="23.4" hidden="1" x14ac:dyDescent="0.45">
      <c r="A23" s="2" t="s">
        <v>148</v>
      </c>
      <c r="B23" s="2" t="s">
        <v>27</v>
      </c>
      <c r="C23" s="2">
        <v>7</v>
      </c>
      <c r="D23" s="2" t="s">
        <v>205</v>
      </c>
      <c r="E23" s="2" t="s">
        <v>210</v>
      </c>
      <c r="F23" s="2" t="s">
        <v>210</v>
      </c>
      <c r="G23" s="2" t="s">
        <v>214</v>
      </c>
      <c r="H23" s="2" t="s">
        <v>207</v>
      </c>
      <c r="I23" s="2" t="s">
        <v>28</v>
      </c>
      <c r="J23" s="3">
        <v>22.921636834395642</v>
      </c>
      <c r="K23" s="3">
        <v>0.51839646423944175</v>
      </c>
      <c r="L23" s="3">
        <v>0.12732615083251717</v>
      </c>
      <c r="M23" s="3">
        <v>173.21606774879481</v>
      </c>
      <c r="N23" s="3">
        <v>0.10570679680294369</v>
      </c>
      <c r="O23" s="3">
        <v>0.7920057991699021</v>
      </c>
      <c r="P23" s="3">
        <v>149.69286095516455</v>
      </c>
      <c r="Q23" s="3">
        <v>231.63250453144812</v>
      </c>
      <c r="R23" s="3">
        <v>0.22282076395690503</v>
      </c>
      <c r="S23" s="3">
        <v>0.21547502448579825</v>
      </c>
      <c r="T23" s="3">
        <v>0.6317335945151813</v>
      </c>
      <c r="U23" s="3">
        <v>39.281171103569989</v>
      </c>
      <c r="V23" s="3">
        <v>49.593851905350647</v>
      </c>
      <c r="W23" s="3">
        <v>3890.2216468944466</v>
      </c>
      <c r="X23" s="3">
        <v>17.474323549398726</v>
      </c>
      <c r="Y23" s="3">
        <v>328.16478678185405</v>
      </c>
      <c r="Z23" s="3">
        <v>4.0286422366610726</v>
      </c>
      <c r="AA23" s="3">
        <v>0.67048712289629286</v>
      </c>
      <c r="AB23" s="3">
        <v>0.48971596474045059</v>
      </c>
      <c r="AC23" s="3">
        <v>91.231307700400095</v>
      </c>
      <c r="AD23" s="3">
        <v>0.75905974534769838</v>
      </c>
      <c r="AE23" s="3">
        <v>0.34280117531831539</v>
      </c>
    </row>
    <row r="24" spans="1:49" ht="23.4" hidden="1" x14ac:dyDescent="0.45">
      <c r="A24" s="2" t="s">
        <v>149</v>
      </c>
      <c r="B24" s="2" t="s">
        <v>27</v>
      </c>
      <c r="C24" s="2">
        <v>7</v>
      </c>
      <c r="D24" s="2" t="s">
        <v>205</v>
      </c>
      <c r="E24" s="2" t="s">
        <v>210</v>
      </c>
      <c r="F24" s="2" t="s">
        <v>210</v>
      </c>
      <c r="G24" s="2" t="s">
        <v>214</v>
      </c>
      <c r="H24" s="2" t="s">
        <v>207</v>
      </c>
      <c r="I24" s="2" t="s">
        <v>139</v>
      </c>
      <c r="J24" s="3">
        <v>76.72555801439141</v>
      </c>
      <c r="K24" s="3">
        <v>1.8005746096623954</v>
      </c>
      <c r="L24" s="3">
        <v>0.29378531073446329</v>
      </c>
      <c r="M24" s="3">
        <v>377.58691886187114</v>
      </c>
      <c r="N24" s="3">
        <v>0.32420636304369044</v>
      </c>
      <c r="O24" s="3">
        <v>2.0537567575311866</v>
      </c>
      <c r="P24" s="3">
        <v>165.65008979446552</v>
      </c>
      <c r="Q24" s="3">
        <v>257.25773272398078</v>
      </c>
      <c r="R24" s="3">
        <v>0.51412429378531077</v>
      </c>
      <c r="S24" s="3">
        <v>0.49717514124293782</v>
      </c>
      <c r="T24" s="3">
        <v>1.4576271186440679</v>
      </c>
      <c r="U24" s="3">
        <v>60.84170293897661</v>
      </c>
      <c r="V24" s="3">
        <v>9201.5191040955378</v>
      </c>
      <c r="W24" s="3">
        <v>2414.2529544266781</v>
      </c>
      <c r="X24" s="3">
        <v>17.659034676904181</v>
      </c>
      <c r="Y24" s="3">
        <v>36001.990196745646</v>
      </c>
      <c r="Z24" s="3">
        <v>49.521356052763053</v>
      </c>
      <c r="AA24" s="3">
        <v>18.893592696475029</v>
      </c>
      <c r="AB24" s="3">
        <v>517.69411025796387</v>
      </c>
      <c r="AC24" s="3">
        <v>69.394179222620679</v>
      </c>
      <c r="AD24" s="3">
        <v>64.051378040672319</v>
      </c>
      <c r="AE24" s="3">
        <v>2.7627113761624069</v>
      </c>
    </row>
    <row r="25" spans="1:49" ht="23.4" hidden="1" x14ac:dyDescent="0.45">
      <c r="A25" s="2" t="s">
        <v>177</v>
      </c>
      <c r="B25" s="2" t="s">
        <v>86</v>
      </c>
      <c r="C25" s="2">
        <v>7</v>
      </c>
      <c r="D25" s="2" t="s">
        <v>205</v>
      </c>
      <c r="E25" s="2" t="s">
        <v>210</v>
      </c>
      <c r="F25" s="2" t="s">
        <v>210</v>
      </c>
      <c r="G25" s="2" t="s">
        <v>214</v>
      </c>
      <c r="H25" s="2" t="s">
        <v>207</v>
      </c>
      <c r="I25" s="2" t="s">
        <v>137</v>
      </c>
      <c r="J25" s="3">
        <v>530.20950270115497</v>
      </c>
      <c r="K25" s="3">
        <v>446.79859597373502</v>
      </c>
      <c r="L25" s="3" t="s">
        <v>173</v>
      </c>
      <c r="M25" s="3">
        <v>4.1981668366402696</v>
      </c>
      <c r="N25" s="3">
        <v>0.50039691166831501</v>
      </c>
      <c r="O25" s="3">
        <v>1.99535394174134</v>
      </c>
      <c r="P25" s="3">
        <v>13.8776487899722</v>
      </c>
      <c r="Q25" s="3">
        <v>8.2215559712221697</v>
      </c>
      <c r="R25" s="3">
        <v>9.8461812154938197</v>
      </c>
      <c r="S25" s="3">
        <v>2.0897144586611001</v>
      </c>
      <c r="T25" s="3">
        <v>1.29</v>
      </c>
      <c r="U25" s="3">
        <v>275.15991581787898</v>
      </c>
      <c r="V25" s="3">
        <v>1748.09768481233</v>
      </c>
      <c r="W25" s="3">
        <v>1280.6532803560599</v>
      </c>
      <c r="X25" s="3">
        <v>1172.9831896774599</v>
      </c>
      <c r="Y25" s="3">
        <v>18114.479125147402</v>
      </c>
      <c r="Z25" s="3">
        <v>49.043521042779602</v>
      </c>
      <c r="AA25" s="3">
        <v>51.7805748157393</v>
      </c>
      <c r="AB25" s="3">
        <v>63.274077888356402</v>
      </c>
      <c r="AC25" s="3">
        <v>58.792103412999701</v>
      </c>
      <c r="AD25" s="3">
        <v>713.54221253982405</v>
      </c>
      <c r="AE25" s="3">
        <v>196.244420420149</v>
      </c>
    </row>
    <row r="26" spans="1:49" ht="23.4" hidden="1" x14ac:dyDescent="0.45">
      <c r="A26" s="2" t="s">
        <v>60</v>
      </c>
      <c r="B26" s="2" t="s">
        <v>27</v>
      </c>
      <c r="C26" s="2">
        <v>8</v>
      </c>
      <c r="D26" s="2" t="s">
        <v>204</v>
      </c>
      <c r="E26" s="2"/>
      <c r="F26" s="2" t="s">
        <v>211</v>
      </c>
      <c r="G26" s="2" t="s">
        <v>205</v>
      </c>
      <c r="H26" s="2" t="s">
        <v>208</v>
      </c>
      <c r="I26" s="2" t="s">
        <v>56</v>
      </c>
      <c r="J26" s="3">
        <v>17.221555968111431</v>
      </c>
      <c r="K26" s="3">
        <v>7.6821285153125158</v>
      </c>
      <c r="L26" s="3">
        <v>0.92554148714767059</v>
      </c>
      <c r="M26" s="3">
        <v>45.569122852416037</v>
      </c>
      <c r="N26" s="3">
        <v>0.15841162750566271</v>
      </c>
      <c r="O26" s="3">
        <v>1.7226197091396143</v>
      </c>
      <c r="P26" s="3">
        <v>12.103160985989113</v>
      </c>
      <c r="Q26" s="3">
        <v>8.7840226021867576</v>
      </c>
      <c r="R26" s="3">
        <v>0.1729</v>
      </c>
      <c r="S26" s="3">
        <v>0.1581943181990903</v>
      </c>
      <c r="T26" s="3">
        <v>16.800747305884432</v>
      </c>
      <c r="U26" s="3">
        <v>66.118277835341246</v>
      </c>
      <c r="V26" s="3">
        <v>71.805301508716568</v>
      </c>
      <c r="W26" s="3">
        <v>4590.1594241525763</v>
      </c>
      <c r="X26" s="3">
        <v>11.204245484266512</v>
      </c>
      <c r="Y26" s="3">
        <v>1204.4763021394219</v>
      </c>
      <c r="Z26" s="3">
        <v>9.1418914067297337</v>
      </c>
      <c r="AA26" s="3">
        <v>6.6812902833515153</v>
      </c>
      <c r="AB26" s="3">
        <v>4.6868059042978727</v>
      </c>
      <c r="AC26" s="3">
        <v>2.4587967744274057</v>
      </c>
      <c r="AD26" s="3">
        <v>6.318999053198719</v>
      </c>
      <c r="AE26" s="3">
        <v>76.236232054101364</v>
      </c>
    </row>
    <row r="27" spans="1:49" ht="23.4" hidden="1" x14ac:dyDescent="0.45">
      <c r="A27" s="2" t="s">
        <v>178</v>
      </c>
      <c r="B27" s="2" t="s">
        <v>86</v>
      </c>
      <c r="C27" s="2">
        <v>8</v>
      </c>
      <c r="D27" s="2" t="s">
        <v>204</v>
      </c>
      <c r="E27" s="2"/>
      <c r="F27" s="2" t="s">
        <v>211</v>
      </c>
      <c r="G27" s="2" t="s">
        <v>205</v>
      </c>
      <c r="H27" s="2" t="s">
        <v>208</v>
      </c>
      <c r="I27" s="2" t="s">
        <v>137</v>
      </c>
      <c r="J27" s="3">
        <v>483.97150848492902</v>
      </c>
      <c r="K27" s="3">
        <v>10.8679210775875</v>
      </c>
      <c r="L27" s="3">
        <v>13.002612190980599</v>
      </c>
      <c r="M27" s="3">
        <v>6.1741018863410497</v>
      </c>
      <c r="N27" s="3">
        <v>1.42794058875788</v>
      </c>
      <c r="O27" s="3">
        <v>7.9748683619787704</v>
      </c>
      <c r="P27" s="3">
        <v>8.2741291587394805</v>
      </c>
      <c r="Q27" s="3">
        <v>5.7419290849728997</v>
      </c>
      <c r="R27" s="3">
        <v>38.204537667698702</v>
      </c>
      <c r="S27" s="3">
        <v>5.6356416622677896</v>
      </c>
      <c r="T27" s="3">
        <v>69.624961548569402</v>
      </c>
      <c r="U27" s="3">
        <v>203.40877187388099</v>
      </c>
      <c r="V27" s="3">
        <v>518.98636042930502</v>
      </c>
      <c r="W27" s="3">
        <v>2309.6787326334702</v>
      </c>
      <c r="X27" s="3">
        <v>1012.58286495506</v>
      </c>
      <c r="Y27" s="3">
        <v>14210.303692289701</v>
      </c>
      <c r="Z27" s="3">
        <v>50.955953360692398</v>
      </c>
      <c r="AA27" s="3">
        <v>65.689607019634195</v>
      </c>
      <c r="AB27" s="3">
        <v>41.893384939446797</v>
      </c>
      <c r="AC27" s="3">
        <v>220.76647188460001</v>
      </c>
      <c r="AD27" s="3">
        <v>333.36498650773899</v>
      </c>
      <c r="AE27" s="3">
        <v>127.98073789998099</v>
      </c>
      <c r="AF27">
        <v>10.199999999999999</v>
      </c>
      <c r="AG27">
        <v>4.41</v>
      </c>
      <c r="AH27">
        <v>14.4</v>
      </c>
      <c r="AI27">
        <v>41.8</v>
      </c>
      <c r="AJ27" s="7">
        <v>95</v>
      </c>
      <c r="AK27">
        <v>32.6</v>
      </c>
      <c r="AL27">
        <v>34.5</v>
      </c>
      <c r="AM27" s="7">
        <v>0</v>
      </c>
      <c r="AN27" s="7">
        <v>0.78</v>
      </c>
      <c r="AO27" s="7">
        <v>2</v>
      </c>
      <c r="AP27" s="7">
        <v>0</v>
      </c>
      <c r="AQ27" s="7">
        <v>0.15</v>
      </c>
      <c r="AR27" s="7">
        <v>5</v>
      </c>
      <c r="AS27" s="7">
        <v>202</v>
      </c>
      <c r="AT27" s="7">
        <f t="shared" ref="AT27" si="20">AN27*AF27</f>
        <v>7.9559999999999995</v>
      </c>
      <c r="AU27">
        <f t="shared" ref="AU27" si="21">AQ27*AF27</f>
        <v>1.5299999999999998</v>
      </c>
      <c r="AV27" s="8">
        <f t="shared" ref="AV27" si="22">(AS27*AT27)/AU27</f>
        <v>1050.4000000000001</v>
      </c>
      <c r="AW27" s="8">
        <f>AT27/AU27</f>
        <v>5.2</v>
      </c>
    </row>
    <row r="28" spans="1:49" ht="23.4" hidden="1" x14ac:dyDescent="0.45">
      <c r="A28" s="2" t="s">
        <v>150</v>
      </c>
      <c r="B28" s="2" t="s">
        <v>27</v>
      </c>
      <c r="C28" s="2">
        <v>8</v>
      </c>
      <c r="D28" s="2" t="s">
        <v>204</v>
      </c>
      <c r="E28" s="2"/>
      <c r="F28" s="2" t="s">
        <v>211</v>
      </c>
      <c r="G28" s="2" t="s">
        <v>205</v>
      </c>
      <c r="H28" s="2" t="s">
        <v>208</v>
      </c>
      <c r="I28" s="2" t="s">
        <v>28</v>
      </c>
      <c r="J28" s="3">
        <v>21.675247361255703</v>
      </c>
      <c r="K28" s="3">
        <v>2.3651764708388985</v>
      </c>
      <c r="L28" s="3">
        <v>0.19756838905775079</v>
      </c>
      <c r="M28" s="3">
        <v>152.35646413052964</v>
      </c>
      <c r="N28" s="3">
        <v>5.6275163877145228E-2</v>
      </c>
      <c r="O28" s="3">
        <v>2.1692799239478346</v>
      </c>
      <c r="P28" s="3">
        <v>21.554948367869606</v>
      </c>
      <c r="Q28" s="3">
        <v>36.287078853706234</v>
      </c>
      <c r="R28" s="3">
        <v>0.34574468085106386</v>
      </c>
      <c r="S28" s="3">
        <v>0.33434650455927056</v>
      </c>
      <c r="T28" s="3">
        <v>4.8438089728172802</v>
      </c>
      <c r="U28" s="3">
        <v>105.7306991439757</v>
      </c>
      <c r="V28" s="3">
        <v>182.32600802262161</v>
      </c>
      <c r="W28" s="3">
        <v>2927.2579495693544</v>
      </c>
      <c r="X28" s="3">
        <v>10.278066501688603</v>
      </c>
      <c r="Y28" s="3">
        <v>1797.3214479190199</v>
      </c>
      <c r="Z28" s="3">
        <v>6.5927528294041569</v>
      </c>
      <c r="AA28" s="3">
        <v>2.0478723404255321</v>
      </c>
      <c r="AB28" s="3">
        <v>0.75987841945288759</v>
      </c>
      <c r="AC28" s="3">
        <v>12.100833072464059</v>
      </c>
      <c r="AD28" s="3">
        <v>1.1778115501519759</v>
      </c>
      <c r="AE28" s="3">
        <v>0.53349052663330021</v>
      </c>
    </row>
    <row r="29" spans="1:49" ht="23.4" hidden="1" x14ac:dyDescent="0.45">
      <c r="A29" s="2" t="s">
        <v>151</v>
      </c>
      <c r="B29" s="2" t="s">
        <v>27</v>
      </c>
      <c r="C29" s="2">
        <v>8</v>
      </c>
      <c r="D29" s="2" t="s">
        <v>204</v>
      </c>
      <c r="E29" s="2"/>
      <c r="F29" s="2" t="s">
        <v>211</v>
      </c>
      <c r="G29" s="2" t="s">
        <v>205</v>
      </c>
      <c r="H29" s="2" t="s">
        <v>208</v>
      </c>
      <c r="I29" s="2" t="s">
        <v>139</v>
      </c>
      <c r="J29" s="3">
        <v>53.93449814821463</v>
      </c>
      <c r="K29" s="3">
        <v>8.5613715848327416</v>
      </c>
      <c r="L29" s="3">
        <v>2.3328151840639646</v>
      </c>
      <c r="M29" s="3">
        <v>241.08928149225082</v>
      </c>
      <c r="N29" s="3">
        <v>0.65555880716447112</v>
      </c>
      <c r="O29" s="3">
        <v>9.2493735038837244</v>
      </c>
      <c r="P29" s="3">
        <v>93.707452192804936</v>
      </c>
      <c r="Q29" s="3">
        <v>1189.3678635839265</v>
      </c>
      <c r="R29" s="3">
        <v>0.28815706143128567</v>
      </c>
      <c r="S29" s="3">
        <v>2.2544041952778469</v>
      </c>
      <c r="T29" s="3">
        <v>23.727188032751741</v>
      </c>
      <c r="U29" s="3">
        <v>49.871350127381127</v>
      </c>
      <c r="V29" s="3">
        <v>15039.451586008487</v>
      </c>
      <c r="W29" s="3">
        <v>1574.8855487557757</v>
      </c>
      <c r="X29" s="3">
        <v>186.92586061005321</v>
      </c>
      <c r="Y29" s="3">
        <v>43675.029601879229</v>
      </c>
      <c r="Z29" s="3">
        <v>12.889681700302534</v>
      </c>
      <c r="AA29" s="3">
        <v>20.74013892569582</v>
      </c>
      <c r="AB29" s="3">
        <v>283.90164465142936</v>
      </c>
      <c r="AC29" s="3">
        <v>126.2062288788442</v>
      </c>
      <c r="AD29" s="3">
        <v>2.4146953259569668</v>
      </c>
      <c r="AE29" s="3">
        <v>4.0914669100104186</v>
      </c>
    </row>
    <row r="30" spans="1:49" ht="23.4" hidden="1" x14ac:dyDescent="0.45">
      <c r="A30" s="2" t="s">
        <v>116</v>
      </c>
      <c r="B30" s="2" t="s">
        <v>86</v>
      </c>
      <c r="C30" s="2">
        <v>8</v>
      </c>
      <c r="D30" s="2" t="s">
        <v>204</v>
      </c>
      <c r="E30" s="2"/>
      <c r="F30" s="2" t="s">
        <v>211</v>
      </c>
      <c r="G30" s="2" t="s">
        <v>205</v>
      </c>
      <c r="H30" s="2" t="s">
        <v>208</v>
      </c>
      <c r="I30" s="2" t="s">
        <v>30</v>
      </c>
      <c r="J30" s="3">
        <v>275.83673353986779</v>
      </c>
      <c r="K30" s="3">
        <v>14.426265982089681</v>
      </c>
      <c r="L30" s="3">
        <v>2.8426969346796565</v>
      </c>
      <c r="M30" s="3">
        <v>2.3477494406120911</v>
      </c>
      <c r="N30" s="3">
        <v>0.38574601393396146</v>
      </c>
      <c r="O30" s="3">
        <v>7.548582369451279</v>
      </c>
      <c r="P30" s="3">
        <v>1.8884543929821178</v>
      </c>
      <c r="Q30" s="3">
        <v>5.7516751526392076</v>
      </c>
      <c r="R30" s="3">
        <v>8.4289479732124288</v>
      </c>
      <c r="S30" s="3">
        <v>5.3212091567992683</v>
      </c>
      <c r="T30" s="3">
        <v>8.6968278252125018</v>
      </c>
      <c r="U30" s="3">
        <v>262.36319946820481</v>
      </c>
      <c r="V30" s="3">
        <v>775.84720406722602</v>
      </c>
      <c r="W30" s="3">
        <v>661.27484215948914</v>
      </c>
      <c r="X30" s="3">
        <v>898.0461896569841</v>
      </c>
      <c r="Y30" s="3">
        <v>9193.6168957401969</v>
      </c>
      <c r="Z30" s="3">
        <v>30.981337172767741</v>
      </c>
      <c r="AA30" s="3">
        <v>68.670394907560947</v>
      </c>
      <c r="AB30" s="3">
        <v>54.307500000000005</v>
      </c>
      <c r="AC30" s="3">
        <v>76.470099999999988</v>
      </c>
      <c r="AD30" s="3">
        <v>536.39249999999993</v>
      </c>
      <c r="AE30" s="3">
        <v>107.86229999999999</v>
      </c>
      <c r="AF30">
        <v>10.1</v>
      </c>
      <c r="AG30">
        <v>4.45</v>
      </c>
      <c r="AH30">
        <v>14.4</v>
      </c>
      <c r="AI30">
        <v>42</v>
      </c>
      <c r="AJ30">
        <v>94</v>
      </c>
      <c r="AK30">
        <v>32.299999999999997</v>
      </c>
      <c r="AL30">
        <v>34.200000000000003</v>
      </c>
      <c r="AM30">
        <v>0</v>
      </c>
      <c r="AN30">
        <v>0.67</v>
      </c>
      <c r="AO30">
        <v>1</v>
      </c>
      <c r="AP30">
        <v>1</v>
      </c>
      <c r="AQ30">
        <v>0.26</v>
      </c>
      <c r="AR30">
        <v>5</v>
      </c>
      <c r="AS30">
        <v>188</v>
      </c>
      <c r="AT30" s="7">
        <f t="shared" ref="AT30" si="23">AN30*AF30</f>
        <v>6.7670000000000003</v>
      </c>
      <c r="AU30">
        <f t="shared" ref="AU30" si="24">AQ30*AF30</f>
        <v>2.6259999999999999</v>
      </c>
      <c r="AV30" s="8">
        <f t="shared" ref="AV30" si="25">(AS30*AT30)/AU30</f>
        <v>484.46153846153851</v>
      </c>
      <c r="AW30" s="8">
        <f t="shared" ref="AW30" si="26">AT30/AU30</f>
        <v>2.5769230769230771</v>
      </c>
    </row>
    <row r="31" spans="1:49" ht="23.4" hidden="1" x14ac:dyDescent="0.45">
      <c r="A31" s="2" t="s">
        <v>61</v>
      </c>
      <c r="B31" s="2" t="s">
        <v>27</v>
      </c>
      <c r="C31" s="2">
        <v>9</v>
      </c>
      <c r="D31" s="2" t="s">
        <v>205</v>
      </c>
      <c r="E31" s="2" t="s">
        <v>211</v>
      </c>
      <c r="F31" s="2" t="s">
        <v>211</v>
      </c>
      <c r="G31" s="2" t="s">
        <v>205</v>
      </c>
      <c r="H31" s="2" t="s">
        <v>208</v>
      </c>
      <c r="I31" s="2" t="s">
        <v>56</v>
      </c>
      <c r="J31" s="3">
        <v>51.924470708546934</v>
      </c>
      <c r="K31" s="3">
        <v>12.582989632479205</v>
      </c>
      <c r="L31" s="3">
        <v>1.7911919268775129</v>
      </c>
      <c r="M31" s="3">
        <v>151.26119852688859</v>
      </c>
      <c r="N31" s="3">
        <v>0.15820000000000001</v>
      </c>
      <c r="O31" s="3">
        <v>3.8427276055676236</v>
      </c>
      <c r="P31" s="3">
        <v>69.808680418445761</v>
      </c>
      <c r="Q31" s="3">
        <v>80.910064436236212</v>
      </c>
      <c r="R31" s="3">
        <v>0.1729</v>
      </c>
      <c r="S31" s="3">
        <v>0.30131146530882441</v>
      </c>
      <c r="T31" s="3">
        <v>22.787830882332944</v>
      </c>
      <c r="U31" s="3">
        <v>60.512944380821807</v>
      </c>
      <c r="V31" s="3">
        <v>64.634254543868181</v>
      </c>
      <c r="W31" s="3">
        <v>3227.2615023463163</v>
      </c>
      <c r="X31" s="3">
        <v>16.402440845212578</v>
      </c>
      <c r="Y31" s="3">
        <v>104.75501223637887</v>
      </c>
      <c r="Z31" s="3">
        <v>0.25900000000000001</v>
      </c>
      <c r="AA31" s="3">
        <v>3.3256135420407338</v>
      </c>
      <c r="AB31" s="3">
        <v>7.7745252325105438</v>
      </c>
      <c r="AC31" s="3">
        <v>11.200230376956616</v>
      </c>
      <c r="AD31" s="3">
        <v>2.3179733102745583</v>
      </c>
      <c r="AE31" s="3">
        <v>6.5102639296187679</v>
      </c>
    </row>
    <row r="32" spans="1:49" ht="23.4" hidden="1" x14ac:dyDescent="0.45">
      <c r="A32" s="2" t="s">
        <v>179</v>
      </c>
      <c r="B32" s="2" t="s">
        <v>86</v>
      </c>
      <c r="C32" s="2">
        <v>9</v>
      </c>
      <c r="D32" s="2" t="s">
        <v>205</v>
      </c>
      <c r="E32" s="2" t="s">
        <v>211</v>
      </c>
      <c r="F32" s="2" t="s">
        <v>211</v>
      </c>
      <c r="G32" s="2" t="s">
        <v>205</v>
      </c>
      <c r="H32" s="2" t="s">
        <v>208</v>
      </c>
      <c r="I32" s="2" t="s">
        <v>137</v>
      </c>
      <c r="J32" s="3">
        <v>325.27515806154503</v>
      </c>
      <c r="K32" s="3">
        <v>14.777768387898</v>
      </c>
      <c r="L32" s="3">
        <v>0.75536567839389701</v>
      </c>
      <c r="M32" s="3">
        <v>1.97399182435184</v>
      </c>
      <c r="N32" s="3">
        <v>0.57156457207017497</v>
      </c>
      <c r="O32" s="3">
        <v>1.2552474435238199</v>
      </c>
      <c r="P32" s="3">
        <v>1.7234885761799801</v>
      </c>
      <c r="Q32" s="3">
        <v>4.8059647942435397</v>
      </c>
      <c r="R32" s="3">
        <v>3.2908210288586499</v>
      </c>
      <c r="S32" s="3">
        <v>5.1303660088860896</v>
      </c>
      <c r="T32" s="3">
        <v>12.417647651666099</v>
      </c>
      <c r="U32" s="3">
        <v>59.516306612853199</v>
      </c>
      <c r="V32" s="3">
        <v>513.38053790525601</v>
      </c>
      <c r="W32" s="3">
        <v>593.54775026502898</v>
      </c>
      <c r="X32" s="3">
        <v>1063.39485862426</v>
      </c>
      <c r="Y32" s="3">
        <v>3058.2531549596201</v>
      </c>
      <c r="Z32" s="3">
        <v>32.129958341032498</v>
      </c>
      <c r="AA32" s="3">
        <v>21.5985501458028</v>
      </c>
      <c r="AB32" s="3">
        <v>62.732198568191002</v>
      </c>
      <c r="AC32" s="3">
        <v>96.385758507527996</v>
      </c>
      <c r="AD32" s="3">
        <v>332.497989229457</v>
      </c>
      <c r="AE32" s="3">
        <v>167.63848715553101</v>
      </c>
      <c r="AF32">
        <v>6.6</v>
      </c>
      <c r="AG32">
        <v>6.63</v>
      </c>
      <c r="AH32">
        <v>13.4</v>
      </c>
      <c r="AI32">
        <v>43.5</v>
      </c>
      <c r="AJ32">
        <v>66</v>
      </c>
      <c r="AK32">
        <v>20.2</v>
      </c>
      <c r="AL32">
        <v>30.8</v>
      </c>
      <c r="AM32">
        <v>0</v>
      </c>
      <c r="AN32">
        <v>60</v>
      </c>
      <c r="AO32">
        <v>2</v>
      </c>
      <c r="AP32">
        <v>1</v>
      </c>
      <c r="AQ32">
        <v>27</v>
      </c>
      <c r="AR32">
        <v>10</v>
      </c>
      <c r="AS32">
        <v>165</v>
      </c>
      <c r="AT32" s="7">
        <f t="shared" ref="AT32" si="27">AN32*AF32</f>
        <v>396</v>
      </c>
      <c r="AU32">
        <f t="shared" ref="AU32" si="28">AQ32*AF32</f>
        <v>178.2</v>
      </c>
      <c r="AV32" s="8">
        <f t="shared" ref="AV32" si="29">(AS32*AT32)/AU32</f>
        <v>366.66666666666669</v>
      </c>
      <c r="AW32" s="8">
        <f>AT32/AU32</f>
        <v>2.2222222222222223</v>
      </c>
    </row>
    <row r="33" spans="1:49" ht="23.4" hidden="1" x14ac:dyDescent="0.45">
      <c r="A33" s="2" t="s">
        <v>152</v>
      </c>
      <c r="B33" s="2" t="s">
        <v>27</v>
      </c>
      <c r="C33" s="2">
        <v>9</v>
      </c>
      <c r="D33" s="2" t="s">
        <v>205</v>
      </c>
      <c r="E33" s="2" t="s">
        <v>211</v>
      </c>
      <c r="F33" s="2" t="s">
        <v>211</v>
      </c>
      <c r="G33" s="2" t="s">
        <v>205</v>
      </c>
      <c r="H33" s="2" t="s">
        <v>208</v>
      </c>
      <c r="I33" s="2" t="s">
        <v>28</v>
      </c>
      <c r="J33" s="3">
        <v>22.40185512032776</v>
      </c>
      <c r="K33" s="3">
        <v>1.2790087456817956</v>
      </c>
      <c r="L33" s="3">
        <v>0.17820424948594929</v>
      </c>
      <c r="M33" s="3">
        <v>327.19688022902534</v>
      </c>
      <c r="N33" s="3">
        <v>9.5956134338588073E-2</v>
      </c>
      <c r="O33" s="3">
        <v>1.6080502005403563</v>
      </c>
      <c r="P33" s="3">
        <v>1.91364179091183</v>
      </c>
      <c r="Q33" s="3">
        <v>5.42086935490976</v>
      </c>
      <c r="R33" s="3">
        <v>0.31185743660041121</v>
      </c>
      <c r="S33" s="3">
        <v>0.3015764222069911</v>
      </c>
      <c r="T33" s="3">
        <v>0.88416723783413298</v>
      </c>
      <c r="U33" s="3">
        <v>71.3030959770891</v>
      </c>
      <c r="V33" s="3">
        <v>28.416683959921592</v>
      </c>
      <c r="W33" s="3">
        <v>2277.1877062975805</v>
      </c>
      <c r="X33" s="3">
        <v>5.5239162957478882</v>
      </c>
      <c r="Y33" s="3">
        <v>107.64204207270116</v>
      </c>
      <c r="Z33" s="3">
        <v>0.1267991775188485</v>
      </c>
      <c r="AA33" s="3">
        <v>1.8471555860178202</v>
      </c>
      <c r="AB33" s="3">
        <v>0.68540095956134339</v>
      </c>
      <c r="AC33" s="3">
        <v>13.365318711446195</v>
      </c>
      <c r="AD33" s="3">
        <v>1.0623714873200822</v>
      </c>
      <c r="AE33" s="3">
        <v>0.14393420150788211</v>
      </c>
    </row>
    <row r="34" spans="1:49" ht="23.4" hidden="1" x14ac:dyDescent="0.45">
      <c r="A34" s="2" t="s">
        <v>153</v>
      </c>
      <c r="B34" s="2" t="s">
        <v>27</v>
      </c>
      <c r="C34" s="2">
        <v>9</v>
      </c>
      <c r="D34" s="2" t="s">
        <v>205</v>
      </c>
      <c r="E34" s="2" t="s">
        <v>211</v>
      </c>
      <c r="F34" s="2" t="s">
        <v>211</v>
      </c>
      <c r="G34" s="2" t="s">
        <v>205</v>
      </c>
      <c r="H34" s="2" t="s">
        <v>208</v>
      </c>
      <c r="I34" s="2" t="s">
        <v>139</v>
      </c>
      <c r="J34" s="3">
        <v>498.90489324298005</v>
      </c>
      <c r="K34" s="3">
        <v>18.99655806838043</v>
      </c>
      <c r="L34" s="3">
        <v>7.0153053799621867</v>
      </c>
      <c r="M34" s="3">
        <v>373.8346558116358</v>
      </c>
      <c r="N34" s="3">
        <v>4.0845543023915294</v>
      </c>
      <c r="O34" s="3">
        <v>29.094335537557431</v>
      </c>
      <c r="P34" s="3">
        <v>358.50249831840716</v>
      </c>
      <c r="Q34" s="3">
        <v>3136.3266017341289</v>
      </c>
      <c r="R34" s="3">
        <v>63.87934308760515</v>
      </c>
      <c r="S34" s="3">
        <v>6.5681042047225144</v>
      </c>
      <c r="T34" s="3">
        <v>75.789522106233576</v>
      </c>
      <c r="U34" s="3">
        <v>35.947055818411002</v>
      </c>
      <c r="V34" s="3">
        <v>31354.937531266572</v>
      </c>
      <c r="W34" s="3">
        <v>2986.1574842710288</v>
      </c>
      <c r="X34" s="3">
        <v>454.35459284930863</v>
      </c>
      <c r="Y34" s="3">
        <v>177495.13472516573</v>
      </c>
      <c r="Z34" s="3">
        <v>53.128974942084284</v>
      </c>
      <c r="AA34" s="3">
        <v>150.68254620640715</v>
      </c>
      <c r="AB34" s="3">
        <v>776.55304871286148</v>
      </c>
      <c r="AC34" s="3">
        <v>181.59267877261144</v>
      </c>
      <c r="AD34" s="3">
        <v>114.34146090889116</v>
      </c>
      <c r="AE34" s="3">
        <v>55.284985520298434</v>
      </c>
    </row>
    <row r="35" spans="1:49" ht="23.4" hidden="1" x14ac:dyDescent="0.45">
      <c r="A35" s="2" t="s">
        <v>117</v>
      </c>
      <c r="B35" s="2" t="s">
        <v>86</v>
      </c>
      <c r="C35" s="2">
        <v>9</v>
      </c>
      <c r="D35" s="2" t="s">
        <v>205</v>
      </c>
      <c r="E35" s="2" t="s">
        <v>211</v>
      </c>
      <c r="F35" s="2" t="s">
        <v>211</v>
      </c>
      <c r="G35" s="2" t="s">
        <v>205</v>
      </c>
      <c r="H35" s="2" t="s">
        <v>208</v>
      </c>
      <c r="I35" s="2" t="s">
        <v>30</v>
      </c>
      <c r="J35" s="3">
        <v>376.11044057070615</v>
      </c>
      <c r="K35" s="3">
        <v>14.204068162419267</v>
      </c>
      <c r="L35" s="3">
        <v>47.853734312264791</v>
      </c>
      <c r="M35" s="3">
        <v>8.3944516976003474</v>
      </c>
      <c r="N35" s="3">
        <v>1.5770447859887176</v>
      </c>
      <c r="O35" s="3">
        <v>15.097285379792845</v>
      </c>
      <c r="P35" s="3">
        <v>3.9961168699118206</v>
      </c>
      <c r="Q35" s="3">
        <v>6.9043646435483907</v>
      </c>
      <c r="R35" s="3">
        <v>62.523117012438291</v>
      </c>
      <c r="S35" s="3">
        <v>20.519366972651842</v>
      </c>
      <c r="T35" s="3">
        <v>114.60903297844473</v>
      </c>
      <c r="U35" s="3">
        <v>250.43854246869259</v>
      </c>
      <c r="V35" s="3">
        <v>806.67242986391943</v>
      </c>
      <c r="W35" s="3">
        <v>870.95219053659662</v>
      </c>
      <c r="X35" s="3">
        <v>1015.6596857828877</v>
      </c>
      <c r="Y35" s="3">
        <v>11856.540222516795</v>
      </c>
      <c r="Z35" s="3">
        <v>24.948722613318658</v>
      </c>
      <c r="AA35" s="3">
        <v>85.66749248249063</v>
      </c>
      <c r="AB35" s="3">
        <v>103.623</v>
      </c>
      <c r="AC35" s="3">
        <v>15.158300000000001</v>
      </c>
      <c r="AD35" s="3">
        <v>732.13560000000007</v>
      </c>
      <c r="AE35" s="3">
        <v>169.47839999999999</v>
      </c>
      <c r="AF35">
        <v>7.9</v>
      </c>
      <c r="AG35">
        <v>6.43</v>
      </c>
      <c r="AH35">
        <v>13.6</v>
      </c>
      <c r="AI35">
        <v>39.700000000000003</v>
      </c>
      <c r="AJ35">
        <v>61</v>
      </c>
      <c r="AK35">
        <v>21.2</v>
      </c>
      <c r="AL35">
        <v>34.299999999999997</v>
      </c>
      <c r="AM35">
        <v>0</v>
      </c>
      <c r="AN35">
        <v>74</v>
      </c>
      <c r="AO35">
        <v>1</v>
      </c>
      <c r="AP35">
        <v>0</v>
      </c>
      <c r="AQ35">
        <v>20</v>
      </c>
      <c r="AR35">
        <v>5</v>
      </c>
      <c r="AS35">
        <v>191</v>
      </c>
      <c r="AT35" s="7">
        <f t="shared" ref="AT35" si="30">AN35*AF35</f>
        <v>584.6</v>
      </c>
      <c r="AU35">
        <f t="shared" ref="AU35" si="31">AQ35*AF35</f>
        <v>158</v>
      </c>
      <c r="AV35" s="8">
        <f t="shared" ref="AV35" si="32">(AS35*AT35)/AU35</f>
        <v>706.7</v>
      </c>
      <c r="AW35" s="8">
        <f>AT35/AU35</f>
        <v>3.7</v>
      </c>
    </row>
    <row r="36" spans="1:49" ht="23.4" hidden="1" x14ac:dyDescent="0.45">
      <c r="A36" s="2" t="s">
        <v>62</v>
      </c>
      <c r="B36" s="2" t="s">
        <v>27</v>
      </c>
      <c r="C36" s="2">
        <v>10</v>
      </c>
      <c r="D36" s="2" t="s">
        <v>204</v>
      </c>
      <c r="E36" s="2"/>
      <c r="F36" s="2" t="s">
        <v>211</v>
      </c>
      <c r="G36" s="2" t="s">
        <v>205</v>
      </c>
      <c r="H36" s="2" t="s">
        <v>208</v>
      </c>
      <c r="I36" s="2" t="s">
        <v>56</v>
      </c>
      <c r="J36" s="3">
        <v>124.50434958585043</v>
      </c>
      <c r="K36" s="3">
        <v>29.103240386654328</v>
      </c>
      <c r="L36" s="3">
        <v>2.5983892335307197</v>
      </c>
      <c r="M36" s="3">
        <v>71.061985116174199</v>
      </c>
      <c r="N36" s="3">
        <v>0.60371424723303058</v>
      </c>
      <c r="O36" s="3">
        <v>6.0458194096132445</v>
      </c>
      <c r="P36" s="3">
        <v>255.58007686891048</v>
      </c>
      <c r="Q36" s="3">
        <v>248.21471180188709</v>
      </c>
      <c r="R36" s="3">
        <v>0.8263715973387431</v>
      </c>
      <c r="S36" s="3">
        <v>2.2201928643966946</v>
      </c>
      <c r="T36" s="3">
        <v>25.062220865268166</v>
      </c>
      <c r="U36" s="3">
        <v>64.381401350114359</v>
      </c>
      <c r="V36" s="3">
        <v>416.78493534450854</v>
      </c>
      <c r="W36" s="3">
        <v>7009.6805862904366</v>
      </c>
      <c r="X36" s="3">
        <v>97.297177744870993</v>
      </c>
      <c r="Y36" s="3">
        <v>7437.2338537683399</v>
      </c>
      <c r="Z36" s="3">
        <v>22.254321494166312</v>
      </c>
      <c r="AA36" s="3">
        <v>13.20725086163819</v>
      </c>
      <c r="AB36" s="3">
        <v>14.357935141500626</v>
      </c>
      <c r="AC36" s="3">
        <v>436.71113537918274</v>
      </c>
      <c r="AD36" s="3">
        <v>9.9314312160629132</v>
      </c>
      <c r="AE36" s="3">
        <v>47.67773559003394</v>
      </c>
    </row>
    <row r="37" spans="1:49" ht="23.4" hidden="1" x14ac:dyDescent="0.45">
      <c r="A37" s="2" t="s">
        <v>180</v>
      </c>
      <c r="B37" s="2" t="s">
        <v>86</v>
      </c>
      <c r="C37" s="2">
        <v>10</v>
      </c>
      <c r="D37" s="2" t="s">
        <v>204</v>
      </c>
      <c r="E37" s="2"/>
      <c r="F37" s="2" t="s">
        <v>211</v>
      </c>
      <c r="G37" s="2" t="s">
        <v>205</v>
      </c>
      <c r="H37" s="2" t="s">
        <v>208</v>
      </c>
      <c r="I37" s="2" t="s">
        <v>137</v>
      </c>
      <c r="J37" s="3">
        <v>302.838317599687</v>
      </c>
      <c r="K37" s="3">
        <v>15.888920826405499</v>
      </c>
      <c r="L37" s="3">
        <v>7.76862468017754</v>
      </c>
      <c r="M37" s="3">
        <v>3.1806303351283201</v>
      </c>
      <c r="N37" s="3">
        <v>1.71387159645</v>
      </c>
      <c r="O37" s="3">
        <v>4.1613296970385001</v>
      </c>
      <c r="P37" s="3">
        <v>0.34236545623648801</v>
      </c>
      <c r="Q37" s="3">
        <v>2.2957548341032101</v>
      </c>
      <c r="R37" s="3">
        <v>0.45500000000000002</v>
      </c>
      <c r="S37" s="3">
        <v>12.614558629407499</v>
      </c>
      <c r="T37" s="3">
        <v>17.971485134462799</v>
      </c>
      <c r="U37" s="3">
        <v>145.436718480313</v>
      </c>
      <c r="V37" s="3">
        <v>433.05707590639702</v>
      </c>
      <c r="W37" s="3">
        <v>497.562755059268</v>
      </c>
      <c r="X37" s="3">
        <v>703.53468539089897</v>
      </c>
      <c r="Y37" s="3">
        <v>2215.16720843244</v>
      </c>
      <c r="Z37" s="3">
        <v>16.600779693050502</v>
      </c>
      <c r="AA37" s="3">
        <v>26.307958746302202</v>
      </c>
      <c r="AB37" s="3">
        <v>28.485978572516</v>
      </c>
      <c r="AC37" s="3">
        <v>174.06575893491799</v>
      </c>
      <c r="AD37" s="3">
        <v>141.64696166014301</v>
      </c>
      <c r="AE37" s="3">
        <v>109.76809006032001</v>
      </c>
      <c r="AF37">
        <v>4.9000000000000004</v>
      </c>
      <c r="AG37">
        <v>4.78</v>
      </c>
      <c r="AH37">
        <v>14.4</v>
      </c>
      <c r="AI37">
        <v>43.5</v>
      </c>
      <c r="AJ37">
        <v>91</v>
      </c>
      <c r="AK37">
        <v>30.1</v>
      </c>
      <c r="AL37">
        <v>33.1</v>
      </c>
      <c r="AM37">
        <v>0</v>
      </c>
      <c r="AN37">
        <v>50</v>
      </c>
      <c r="AO37">
        <v>3</v>
      </c>
      <c r="AP37">
        <v>1</v>
      </c>
      <c r="AQ37">
        <v>38</v>
      </c>
      <c r="AR37">
        <v>8</v>
      </c>
      <c r="AS37">
        <v>203</v>
      </c>
      <c r="AT37" s="7">
        <f t="shared" ref="AT37" si="33">AN37*AF37</f>
        <v>245.00000000000003</v>
      </c>
      <c r="AU37">
        <f t="shared" ref="AU37" si="34">AQ37*AF37</f>
        <v>186.20000000000002</v>
      </c>
      <c r="AV37" s="8">
        <f t="shared" ref="AV37" si="35">(AS37*AT37)/AU37</f>
        <v>267.10526315789474</v>
      </c>
      <c r="AW37" s="8">
        <f t="shared" ref="AW37" si="36">AT37/AU37</f>
        <v>1.3157894736842106</v>
      </c>
    </row>
    <row r="38" spans="1:49" ht="23.4" hidden="1" x14ac:dyDescent="0.45">
      <c r="A38" s="2" t="s">
        <v>154</v>
      </c>
      <c r="B38" s="2" t="s">
        <v>27</v>
      </c>
      <c r="C38" s="2">
        <v>10</v>
      </c>
      <c r="D38" s="2" t="s">
        <v>204</v>
      </c>
      <c r="E38" s="2"/>
      <c r="F38" s="2" t="s">
        <v>211</v>
      </c>
      <c r="G38" s="2" t="s">
        <v>205</v>
      </c>
      <c r="H38" s="2" t="s">
        <v>208</v>
      </c>
      <c r="I38" s="2" t="s">
        <v>28</v>
      </c>
      <c r="J38" s="3">
        <v>154.01607806905417</v>
      </c>
      <c r="K38" s="3">
        <v>16.832261291706295</v>
      </c>
      <c r="L38" s="3">
        <v>1.2777511501521515</v>
      </c>
      <c r="M38" s="3">
        <v>130.96165469634104</v>
      </c>
      <c r="N38" s="3">
        <v>0.62580433522007728</v>
      </c>
      <c r="O38" s="3">
        <v>7.7576363726392268</v>
      </c>
      <c r="P38" s="3">
        <v>2327.2803268655698</v>
      </c>
      <c r="Q38" s="3">
        <v>2142.7227199361832</v>
      </c>
      <c r="R38" s="3">
        <v>0.36254980079681282</v>
      </c>
      <c r="S38" s="3">
        <v>1.9175283870340718</v>
      </c>
      <c r="T38" s="3">
        <v>40.496309537843352</v>
      </c>
      <c r="U38" s="3">
        <v>73.494865009809487</v>
      </c>
      <c r="V38" s="3">
        <v>199.96689926864224</v>
      </c>
      <c r="W38" s="3">
        <v>17011.707637148607</v>
      </c>
      <c r="X38" s="3">
        <v>270.54809932413787</v>
      </c>
      <c r="Y38" s="3">
        <v>1593.4041374014025</v>
      </c>
      <c r="Z38" s="3">
        <v>31.141964104659682</v>
      </c>
      <c r="AA38" s="3">
        <v>15.841420981543349</v>
      </c>
      <c r="AB38" s="3">
        <v>21.951964403636975</v>
      </c>
      <c r="AC38" s="3">
        <v>905.17278928235862</v>
      </c>
      <c r="AD38" s="3">
        <v>1.2350597609561755</v>
      </c>
      <c r="AE38" s="3">
        <v>3.8106924786392988</v>
      </c>
    </row>
    <row r="39" spans="1:49" ht="23.4" hidden="1" x14ac:dyDescent="0.45">
      <c r="A39" s="2" t="s">
        <v>155</v>
      </c>
      <c r="B39" s="2" t="s">
        <v>27</v>
      </c>
      <c r="C39" s="2">
        <v>10</v>
      </c>
      <c r="D39" s="2" t="s">
        <v>204</v>
      </c>
      <c r="E39" s="2"/>
      <c r="F39" s="2" t="s">
        <v>211</v>
      </c>
      <c r="G39" s="2" t="s">
        <v>205</v>
      </c>
      <c r="H39" s="2" t="s">
        <v>208</v>
      </c>
      <c r="I39" s="2" t="s">
        <v>139</v>
      </c>
      <c r="J39" s="3">
        <v>787.9354777605065</v>
      </c>
      <c r="K39" s="3">
        <v>99.653375912755592</v>
      </c>
      <c r="L39" s="3">
        <v>594.64527415088673</v>
      </c>
      <c r="M39" s="3">
        <v>2314.0962746238624</v>
      </c>
      <c r="N39" s="3">
        <v>86.445339287863987</v>
      </c>
      <c r="O39" s="3">
        <v>35.298742288116578</v>
      </c>
      <c r="P39" s="3">
        <v>12078.945391868654</v>
      </c>
      <c r="Q39" s="3">
        <v>12810.992557866126</v>
      </c>
      <c r="R39" s="3">
        <v>1035.3869084128007</v>
      </c>
      <c r="S39" s="3">
        <v>14.444108250479674</v>
      </c>
      <c r="T39" s="3">
        <v>230.93255018327702</v>
      </c>
      <c r="U39" s="3">
        <v>97.113978739037407</v>
      </c>
      <c r="V39" s="3">
        <v>42989.583725390388</v>
      </c>
      <c r="W39" s="3">
        <v>17059.197068646914</v>
      </c>
      <c r="X39" s="3">
        <v>2454.3170933982301</v>
      </c>
      <c r="Y39" s="3">
        <v>128763.57169263497</v>
      </c>
      <c r="Z39" s="3">
        <v>1809.8100593523861</v>
      </c>
      <c r="AA39" s="3">
        <v>1364.3935451082707</v>
      </c>
      <c r="AB39" s="3">
        <v>2633.5466289101109</v>
      </c>
      <c r="AC39" s="3">
        <v>3412.3882007430734</v>
      </c>
      <c r="AD39" s="3">
        <v>590.6562639136805</v>
      </c>
      <c r="AE39" s="3">
        <v>110.46319434367845</v>
      </c>
    </row>
    <row r="40" spans="1:49" ht="23.4" hidden="1" x14ac:dyDescent="0.45">
      <c r="A40" s="2" t="s">
        <v>118</v>
      </c>
      <c r="B40" s="2" t="s">
        <v>86</v>
      </c>
      <c r="C40" s="2">
        <v>10</v>
      </c>
      <c r="D40" s="2" t="s">
        <v>204</v>
      </c>
      <c r="E40" s="2"/>
      <c r="F40" s="2" t="s">
        <v>211</v>
      </c>
      <c r="G40" s="2" t="s">
        <v>205</v>
      </c>
      <c r="H40" s="2" t="s">
        <v>208</v>
      </c>
      <c r="I40" s="2" t="s">
        <v>30</v>
      </c>
      <c r="J40" s="3">
        <v>110.47189194340164</v>
      </c>
      <c r="K40" s="3">
        <v>27.075237697267916</v>
      </c>
      <c r="L40" s="3">
        <v>11.101608592712985</v>
      </c>
      <c r="M40" s="3">
        <v>4.4110300054504998</v>
      </c>
      <c r="N40" s="3">
        <v>1.1331690811154134</v>
      </c>
      <c r="O40" s="3">
        <v>4.5110075404047993</v>
      </c>
      <c r="P40" s="3">
        <v>33.359812474739641</v>
      </c>
      <c r="Q40" s="3">
        <v>12.740161650790652</v>
      </c>
      <c r="R40" s="3">
        <v>13.441906152619564</v>
      </c>
      <c r="S40" s="3">
        <v>13.051741409200341</v>
      </c>
      <c r="T40" s="3">
        <v>89.440293217744554</v>
      </c>
      <c r="U40" s="3">
        <v>91.70582881591379</v>
      </c>
      <c r="V40" s="3">
        <v>1610.2756748405955</v>
      </c>
      <c r="W40" s="3">
        <v>2422.6560628796337</v>
      </c>
      <c r="X40" s="3">
        <v>1437.3537731725976</v>
      </c>
      <c r="Y40" s="3">
        <v>13223.104644149498</v>
      </c>
      <c r="Z40" s="3">
        <v>36.884747944715869</v>
      </c>
      <c r="AA40" s="3">
        <v>61.207978438947549</v>
      </c>
      <c r="AB40" s="3">
        <v>84.971249999999998</v>
      </c>
      <c r="AC40" s="3">
        <v>166.5702</v>
      </c>
      <c r="AD40" s="3">
        <v>535.66065000000003</v>
      </c>
      <c r="AE40" s="3">
        <v>114.94665000000001</v>
      </c>
      <c r="AF40">
        <v>12.8</v>
      </c>
      <c r="AG40">
        <v>4.8899999999999997</v>
      </c>
      <c r="AH40">
        <v>14.6</v>
      </c>
      <c r="AI40">
        <v>43.1</v>
      </c>
      <c r="AJ40">
        <v>88</v>
      </c>
      <c r="AK40">
        <v>29.8</v>
      </c>
      <c r="AL40">
        <v>33.799999999999997</v>
      </c>
      <c r="AM40">
        <v>0</v>
      </c>
      <c r="AN40">
        <v>76</v>
      </c>
      <c r="AO40">
        <v>2</v>
      </c>
      <c r="AP40">
        <v>0</v>
      </c>
      <c r="AQ40">
        <v>16</v>
      </c>
      <c r="AR40">
        <v>6</v>
      </c>
      <c r="AS40">
        <v>238</v>
      </c>
      <c r="AT40" s="7">
        <f t="shared" ref="AT40" si="37">AN40*AF40</f>
        <v>972.80000000000007</v>
      </c>
      <c r="AU40">
        <f t="shared" ref="AU40" si="38">AQ40*AF40</f>
        <v>204.8</v>
      </c>
      <c r="AV40" s="8">
        <f t="shared" ref="AV40" si="39">(AS40*AT40)/AU40</f>
        <v>1130.5</v>
      </c>
      <c r="AW40" s="8">
        <f t="shared" ref="AW40" si="40">AT40/AU40</f>
        <v>4.75</v>
      </c>
    </row>
    <row r="41" spans="1:49" ht="23.4" hidden="1" x14ac:dyDescent="0.45">
      <c r="A41" s="2" t="s">
        <v>63</v>
      </c>
      <c r="B41" s="2" t="s">
        <v>27</v>
      </c>
      <c r="C41" s="2">
        <v>11</v>
      </c>
      <c r="D41" s="2" t="s">
        <v>205</v>
      </c>
      <c r="E41" s="2"/>
      <c r="F41" s="2" t="s">
        <v>210</v>
      </c>
      <c r="G41" s="2" t="s">
        <v>214</v>
      </c>
      <c r="H41" s="2" t="s">
        <v>207</v>
      </c>
      <c r="I41" s="2" t="s">
        <v>56</v>
      </c>
      <c r="J41" s="3">
        <v>132.41249168090022</v>
      </c>
      <c r="K41" s="3">
        <v>32.804324390430587</v>
      </c>
      <c r="L41" s="3">
        <v>5.2797310463306024</v>
      </c>
      <c r="M41" s="3">
        <v>334.26194778607532</v>
      </c>
      <c r="N41" s="3">
        <v>0.60880681695223671</v>
      </c>
      <c r="O41" s="3">
        <v>11.671969505904594</v>
      </c>
      <c r="P41" s="3">
        <v>181.86494964944009</v>
      </c>
      <c r="Q41" s="3">
        <v>217.5684743287257</v>
      </c>
      <c r="R41" s="3">
        <v>0.1729</v>
      </c>
      <c r="S41" s="3">
        <v>2.8296029483474889</v>
      </c>
      <c r="T41" s="3">
        <v>64.56855251581031</v>
      </c>
      <c r="U41" s="3">
        <v>120.84692967371087</v>
      </c>
      <c r="V41" s="3">
        <v>793.22808137851735</v>
      </c>
      <c r="W41" s="3">
        <v>5190.6299235934703</v>
      </c>
      <c r="X41" s="3">
        <v>62.966587199697337</v>
      </c>
      <c r="Y41" s="3">
        <v>5568.5910488600457</v>
      </c>
      <c r="Z41" s="3">
        <v>27.58281829213383</v>
      </c>
      <c r="AA41" s="3">
        <v>17.629519362093863</v>
      </c>
      <c r="AB41" s="3">
        <v>22.100304728521603</v>
      </c>
      <c r="AC41" s="3">
        <v>109.60786987679106</v>
      </c>
      <c r="AD41" s="3">
        <v>31.425363299059971</v>
      </c>
      <c r="AE41" s="3">
        <v>96.842055388109017</v>
      </c>
    </row>
    <row r="42" spans="1:49" ht="23.4" hidden="1" x14ac:dyDescent="0.45">
      <c r="A42" s="2" t="s">
        <v>181</v>
      </c>
      <c r="B42" s="2" t="s">
        <v>86</v>
      </c>
      <c r="C42" s="2">
        <v>11</v>
      </c>
      <c r="D42" s="2" t="s">
        <v>205</v>
      </c>
      <c r="E42" s="2"/>
      <c r="F42" s="2" t="s">
        <v>210</v>
      </c>
      <c r="G42" s="2" t="s">
        <v>214</v>
      </c>
      <c r="H42" s="2" t="s">
        <v>207</v>
      </c>
      <c r="I42" s="2" t="s">
        <v>137</v>
      </c>
      <c r="J42" s="3">
        <v>457.681512881201</v>
      </c>
      <c r="K42" s="3">
        <v>13.960944360818001</v>
      </c>
      <c r="L42" s="3">
        <v>17.3889275025324</v>
      </c>
      <c r="M42" s="3">
        <v>0.69555924950034798</v>
      </c>
      <c r="N42" s="3">
        <v>2.7874577719518099</v>
      </c>
      <c r="O42" s="3">
        <v>4.0014128968409102</v>
      </c>
      <c r="P42" s="3">
        <v>2.7918462894595102</v>
      </c>
      <c r="Q42" s="3">
        <v>3.0547661075755599</v>
      </c>
      <c r="R42" s="3">
        <v>5.35555616982119</v>
      </c>
      <c r="S42" s="3">
        <v>13.2353647762479</v>
      </c>
      <c r="T42" s="3">
        <v>118.927175792581</v>
      </c>
      <c r="U42" s="3">
        <v>80.920082161622702</v>
      </c>
      <c r="V42" s="3">
        <v>794.31606896613198</v>
      </c>
      <c r="W42" s="3">
        <v>366.59933772884102</v>
      </c>
      <c r="X42" s="3">
        <v>703.97833302159597</v>
      </c>
      <c r="Y42" s="3">
        <v>5446.5419780140201</v>
      </c>
      <c r="Z42" s="3">
        <v>22.8218137708166</v>
      </c>
      <c r="AA42" s="3">
        <v>44.585373750187202</v>
      </c>
      <c r="AB42" s="3">
        <v>38.329798706499602</v>
      </c>
      <c r="AC42" s="3">
        <v>264.82063411938401</v>
      </c>
      <c r="AD42" s="3">
        <v>602.92947898945704</v>
      </c>
      <c r="AE42" s="3">
        <v>156.020260532203</v>
      </c>
      <c r="AF42">
        <v>7.3</v>
      </c>
      <c r="AG42">
        <v>5.17</v>
      </c>
      <c r="AH42">
        <v>14.1</v>
      </c>
      <c r="AI42">
        <v>42.9</v>
      </c>
      <c r="AJ42">
        <v>83</v>
      </c>
      <c r="AK42">
        <v>27.2</v>
      </c>
      <c r="AL42">
        <v>32.799999999999997</v>
      </c>
      <c r="AM42">
        <v>0</v>
      </c>
      <c r="AN42">
        <v>56</v>
      </c>
      <c r="AO42">
        <v>3</v>
      </c>
      <c r="AP42">
        <v>1</v>
      </c>
      <c r="AQ42">
        <v>31</v>
      </c>
      <c r="AR42">
        <v>9</v>
      </c>
      <c r="AS42">
        <v>218</v>
      </c>
      <c r="AT42" s="7">
        <f t="shared" ref="AT42" si="41">AN42*AF42</f>
        <v>408.8</v>
      </c>
      <c r="AU42">
        <f t="shared" ref="AU42" si="42">AQ42*AF42</f>
        <v>226.29999999999998</v>
      </c>
      <c r="AV42" s="8">
        <f t="shared" ref="AV42" si="43">(AS42*AT42)/AU42</f>
        <v>393.80645161290329</v>
      </c>
      <c r="AW42" s="8">
        <f t="shared" ref="AW42" si="44">AT42/AU42</f>
        <v>1.806451612903226</v>
      </c>
    </row>
    <row r="43" spans="1:49" ht="23.4" hidden="1" x14ac:dyDescent="0.45">
      <c r="A43" s="2" t="s">
        <v>156</v>
      </c>
      <c r="B43" s="2" t="s">
        <v>27</v>
      </c>
      <c r="C43" s="2">
        <v>11</v>
      </c>
      <c r="D43" s="2" t="s">
        <v>205</v>
      </c>
      <c r="E43" s="2"/>
      <c r="F43" s="2" t="s">
        <v>210</v>
      </c>
      <c r="G43" s="2" t="s">
        <v>214</v>
      </c>
      <c r="H43" s="2" t="s">
        <v>207</v>
      </c>
      <c r="I43" s="2" t="s">
        <v>28</v>
      </c>
      <c r="J43" s="3">
        <v>102.84226828432989</v>
      </c>
      <c r="K43" s="3">
        <v>13.543782287172766</v>
      </c>
      <c r="L43" s="3">
        <v>0.95940959409594095</v>
      </c>
      <c r="M43" s="3">
        <v>101.05501678636568</v>
      </c>
      <c r="N43" s="3">
        <v>0.51660516605166051</v>
      </c>
      <c r="O43" s="3">
        <v>17.67773325850343</v>
      </c>
      <c r="P43" s="3">
        <v>603.26461945957192</v>
      </c>
      <c r="Q43" s="3">
        <v>445.21349839827673</v>
      </c>
      <c r="R43" s="3">
        <v>1.6789667896678966</v>
      </c>
      <c r="S43" s="3">
        <v>1.6236162361623616</v>
      </c>
      <c r="T43" s="3">
        <v>4.7601476014760147</v>
      </c>
      <c r="U43" s="3">
        <v>44.20172668216162</v>
      </c>
      <c r="V43" s="3">
        <v>98.863554819565664</v>
      </c>
      <c r="W43" s="3">
        <v>1313.4071041418301</v>
      </c>
      <c r="X43" s="3">
        <v>202.29188599324132</v>
      </c>
      <c r="Y43" s="3">
        <v>288.78425956705536</v>
      </c>
      <c r="Z43" s="3">
        <v>0.68265682656826565</v>
      </c>
      <c r="AA43" s="3">
        <v>9.9446494464944628</v>
      </c>
      <c r="AB43" s="3">
        <v>3.6900369003690034</v>
      </c>
      <c r="AC43" s="3">
        <v>357.58789841885863</v>
      </c>
      <c r="AD43" s="3">
        <v>5.7195571955719551</v>
      </c>
      <c r="AE43" s="3">
        <v>37.625057104978225</v>
      </c>
    </row>
    <row r="44" spans="1:49" ht="23.4" hidden="1" x14ac:dyDescent="0.45">
      <c r="A44" s="2" t="s">
        <v>157</v>
      </c>
      <c r="B44" s="2" t="s">
        <v>27</v>
      </c>
      <c r="C44" s="2">
        <v>11</v>
      </c>
      <c r="D44" s="2" t="s">
        <v>205</v>
      </c>
      <c r="E44" s="2"/>
      <c r="F44" s="2" t="s">
        <v>210</v>
      </c>
      <c r="G44" s="2" t="s">
        <v>214</v>
      </c>
      <c r="H44" s="2" t="s">
        <v>207</v>
      </c>
      <c r="I44" s="2" t="s">
        <v>139</v>
      </c>
      <c r="J44" s="3">
        <v>117.09978839207201</v>
      </c>
      <c r="K44" s="3">
        <v>10.507796804865642</v>
      </c>
      <c r="L44" s="3">
        <v>18.656238658445869</v>
      </c>
      <c r="M44" s="3">
        <v>579.95738327685319</v>
      </c>
      <c r="N44" s="3">
        <v>0.81947766800086086</v>
      </c>
      <c r="O44" s="3">
        <v>21.470707501661618</v>
      </c>
      <c r="P44" s="3">
        <v>443.71931346864829</v>
      </c>
      <c r="Q44" s="3">
        <v>2955.5806604673239</v>
      </c>
      <c r="R44" s="3">
        <v>0.69571865443425074</v>
      </c>
      <c r="S44" s="3">
        <v>1.6266199602971709</v>
      </c>
      <c r="T44" s="3">
        <v>48.566664227720032</v>
      </c>
      <c r="U44" s="3">
        <v>337.68212549025992</v>
      </c>
      <c r="V44" s="3">
        <v>2979.4044140248316</v>
      </c>
      <c r="W44" s="3">
        <v>16159.938050859939</v>
      </c>
      <c r="X44" s="3">
        <v>101.63907463125871</v>
      </c>
      <c r="Y44" s="3">
        <v>50352.397135125837</v>
      </c>
      <c r="Z44" s="3">
        <v>49.128376668245409</v>
      </c>
      <c r="AA44" s="3">
        <v>68.189894898722329</v>
      </c>
      <c r="AB44" s="3">
        <v>106.80397672342814</v>
      </c>
      <c r="AC44" s="3">
        <v>600.85709073398311</v>
      </c>
      <c r="AD44" s="3">
        <v>3.5792168158125075</v>
      </c>
      <c r="AE44" s="3">
        <v>79.901058829392809</v>
      </c>
    </row>
    <row r="45" spans="1:49" ht="23.4" hidden="1" x14ac:dyDescent="0.45">
      <c r="A45" s="2" t="s">
        <v>119</v>
      </c>
      <c r="B45" s="2" t="s">
        <v>86</v>
      </c>
      <c r="C45" s="2">
        <v>11</v>
      </c>
      <c r="D45" s="2" t="s">
        <v>205</v>
      </c>
      <c r="E45" s="2"/>
      <c r="F45" s="2" t="s">
        <v>210</v>
      </c>
      <c r="G45" s="2" t="s">
        <v>214</v>
      </c>
      <c r="H45" s="2" t="s">
        <v>207</v>
      </c>
      <c r="I45" s="2" t="s">
        <v>30</v>
      </c>
      <c r="J45" s="3">
        <v>40.060579753914951</v>
      </c>
      <c r="K45" s="3">
        <v>63.556969336448901</v>
      </c>
      <c r="L45" s="3">
        <v>42.88899934548084</v>
      </c>
      <c r="M45" s="3">
        <v>8.7122247439592311</v>
      </c>
      <c r="N45" s="3">
        <v>1.9647602306740077</v>
      </c>
      <c r="O45" s="3">
        <v>25.721421119233565</v>
      </c>
      <c r="P45" s="3">
        <v>3.6227996872578396</v>
      </c>
      <c r="Q45" s="3">
        <v>5.6674345475762484</v>
      </c>
      <c r="R45" s="3">
        <v>6.0689729712698455</v>
      </c>
      <c r="S45" s="3">
        <v>18.653504777935083</v>
      </c>
      <c r="T45" s="3">
        <v>48.066083453252695</v>
      </c>
      <c r="U45" s="3">
        <v>117.86235280123319</v>
      </c>
      <c r="V45" s="3">
        <v>1289.4054105986445</v>
      </c>
      <c r="W45" s="3">
        <v>282.41815406660288</v>
      </c>
      <c r="X45" s="3">
        <v>645.78518963684417</v>
      </c>
      <c r="Y45" s="3">
        <v>6047.9766659903544</v>
      </c>
      <c r="Z45" s="3">
        <v>38.969066177129726</v>
      </c>
      <c r="AA45" s="3">
        <v>67.013116416749654</v>
      </c>
      <c r="AB45" s="3">
        <v>149.48699999999999</v>
      </c>
      <c r="AC45" s="3">
        <v>358.19060000000002</v>
      </c>
      <c r="AD45" s="3">
        <v>629.06970000000001</v>
      </c>
      <c r="AE45" s="3">
        <v>370.81590000000006</v>
      </c>
      <c r="AF45">
        <v>7.7</v>
      </c>
      <c r="AG45">
        <v>4.95</v>
      </c>
      <c r="AH45">
        <v>13.1</v>
      </c>
      <c r="AI45">
        <v>40</v>
      </c>
      <c r="AJ45">
        <v>81</v>
      </c>
      <c r="AK45">
        <v>26.6</v>
      </c>
      <c r="AL45">
        <v>32.799999999999997</v>
      </c>
      <c r="AM45">
        <v>0</v>
      </c>
      <c r="AN45">
        <v>59</v>
      </c>
      <c r="AO45">
        <v>2</v>
      </c>
      <c r="AP45">
        <v>1</v>
      </c>
      <c r="AQ45">
        <v>25</v>
      </c>
      <c r="AR45">
        <v>13</v>
      </c>
      <c r="AS45">
        <v>266</v>
      </c>
      <c r="AT45" s="7">
        <f t="shared" ref="AT45" si="45">AN45*AF45</f>
        <v>454.3</v>
      </c>
      <c r="AU45">
        <f t="shared" ref="AU45" si="46">AQ45*AF45</f>
        <v>192.5</v>
      </c>
      <c r="AV45" s="8">
        <f t="shared" ref="AV45" si="47">(AS45*AT45)/AU45</f>
        <v>627.76</v>
      </c>
      <c r="AW45" s="8">
        <f t="shared" ref="AW45" si="48">AT45/AU45</f>
        <v>2.36</v>
      </c>
    </row>
    <row r="46" spans="1:49" ht="23.4" hidden="1" x14ac:dyDescent="0.45">
      <c r="A46" s="2" t="s">
        <v>64</v>
      </c>
      <c r="B46" s="2" t="s">
        <v>27</v>
      </c>
      <c r="C46" s="2">
        <v>12</v>
      </c>
      <c r="D46" s="2" t="s">
        <v>204</v>
      </c>
      <c r="E46" s="2"/>
      <c r="F46" s="2" t="s">
        <v>211</v>
      </c>
      <c r="G46" s="2" t="s">
        <v>205</v>
      </c>
      <c r="H46" s="2" t="s">
        <v>207</v>
      </c>
      <c r="I46" s="2" t="s">
        <v>56</v>
      </c>
      <c r="J46" s="3">
        <v>28.004949998105609</v>
      </c>
      <c r="K46" s="3">
        <v>2.0991434555733726</v>
      </c>
      <c r="L46" s="3">
        <v>0.64361798276489524</v>
      </c>
      <c r="M46" s="3">
        <v>74.290088038161159</v>
      </c>
      <c r="N46" s="3">
        <v>0.11015883518728906</v>
      </c>
      <c r="O46" s="3">
        <v>1.0950482441025455</v>
      </c>
      <c r="P46" s="3">
        <v>5.8762573422385067</v>
      </c>
      <c r="Q46" s="3">
        <v>1.6478601509771631</v>
      </c>
      <c r="R46" s="3">
        <v>0.1729</v>
      </c>
      <c r="S46" s="3">
        <v>0.11000771913309328</v>
      </c>
      <c r="T46" s="3">
        <v>11.683174919884307</v>
      </c>
      <c r="U46" s="3">
        <v>32.960184723637731</v>
      </c>
      <c r="V46" s="3">
        <v>26.737423998939427</v>
      </c>
      <c r="W46" s="3">
        <v>1844.8266925729613</v>
      </c>
      <c r="X46" s="3">
        <v>1.5985351299392847</v>
      </c>
      <c r="Y46" s="3">
        <v>302.2018247414631</v>
      </c>
      <c r="Z46" s="3">
        <v>0.25900000000000001</v>
      </c>
      <c r="AA46" s="3">
        <v>1.6291836079605768</v>
      </c>
      <c r="AB46" s="3">
        <v>2.6742728347038081</v>
      </c>
      <c r="AC46" s="3">
        <v>0.41239042916792623</v>
      </c>
      <c r="AD46" s="3">
        <v>3.1489610677128179</v>
      </c>
      <c r="AE46" s="3">
        <v>2.3768736616702357</v>
      </c>
    </row>
    <row r="47" spans="1:49" ht="23.4" hidden="1" x14ac:dyDescent="0.45">
      <c r="A47" s="2" t="s">
        <v>120</v>
      </c>
      <c r="B47" s="2" t="s">
        <v>86</v>
      </c>
      <c r="C47" s="2">
        <v>12</v>
      </c>
      <c r="D47" s="2" t="s">
        <v>204</v>
      </c>
      <c r="E47" s="2"/>
      <c r="F47" s="2" t="s">
        <v>211</v>
      </c>
      <c r="G47" s="2" t="s">
        <v>205</v>
      </c>
      <c r="H47" s="2" t="s">
        <v>207</v>
      </c>
      <c r="I47" s="2" t="s">
        <v>30</v>
      </c>
      <c r="J47" s="3">
        <v>340.74872149023849</v>
      </c>
      <c r="K47" s="3">
        <v>28.015694752489939</v>
      </c>
      <c r="L47" s="3">
        <v>31.039865985053019</v>
      </c>
      <c r="M47" s="3">
        <v>3.0982336752704014</v>
      </c>
      <c r="N47" s="3">
        <v>2.0739703078498239</v>
      </c>
      <c r="O47" s="3">
        <v>14.68760603057798</v>
      </c>
      <c r="P47" s="3">
        <v>3.1679307545930122</v>
      </c>
      <c r="Q47" s="3">
        <v>3.5872017212094964</v>
      </c>
      <c r="R47" s="3">
        <v>8.8985997161357115</v>
      </c>
      <c r="S47" s="3">
        <v>24.067129039780028</v>
      </c>
      <c r="T47" s="3">
        <v>156.09945944403162</v>
      </c>
      <c r="U47" s="3">
        <v>91.611670791115216</v>
      </c>
      <c r="V47" s="3">
        <v>982.02576294718688</v>
      </c>
      <c r="W47" s="3">
        <v>499.81690078963925</v>
      </c>
      <c r="X47" s="3">
        <v>616.9983731654213</v>
      </c>
      <c r="Y47" s="3">
        <v>7034.5102375649421</v>
      </c>
      <c r="Z47" s="3">
        <v>31.746661609002704</v>
      </c>
      <c r="AA47" s="3">
        <v>67.288681407474286</v>
      </c>
      <c r="AB47" s="3">
        <v>56.472000000000001</v>
      </c>
      <c r="AC47" s="3">
        <v>117.05269999999999</v>
      </c>
      <c r="AD47" s="3">
        <v>644.31359999999995</v>
      </c>
      <c r="AE47" s="3">
        <v>200.98260000000002</v>
      </c>
    </row>
    <row r="48" spans="1:49" ht="23.4" hidden="1" x14ac:dyDescent="0.45">
      <c r="A48" s="2" t="s">
        <v>158</v>
      </c>
      <c r="B48" s="2" t="s">
        <v>27</v>
      </c>
      <c r="C48" s="2">
        <v>12</v>
      </c>
      <c r="D48" s="2" t="s">
        <v>204</v>
      </c>
      <c r="E48" s="2"/>
      <c r="F48" s="2" t="s">
        <v>211</v>
      </c>
      <c r="G48" s="2" t="s">
        <v>205</v>
      </c>
      <c r="H48" s="2" t="s">
        <v>207</v>
      </c>
      <c r="I48" s="2" t="s">
        <v>28</v>
      </c>
      <c r="J48" s="3">
        <v>43.11651748172185</v>
      </c>
      <c r="K48" s="3">
        <v>6.1030195988526659</v>
      </c>
      <c r="L48" s="3">
        <v>0.31212484993997602</v>
      </c>
      <c r="M48" s="3">
        <v>61.226063365579833</v>
      </c>
      <c r="N48" s="3">
        <v>0.17401644341772751</v>
      </c>
      <c r="O48" s="3">
        <v>4.609467973244298</v>
      </c>
      <c r="P48" s="3">
        <v>1.3671125616480793</v>
      </c>
      <c r="Q48" s="3">
        <v>4.7264425587418248</v>
      </c>
      <c r="R48" s="3">
        <v>0.54621848739495804</v>
      </c>
      <c r="S48" s="3">
        <v>0.5282112845138055</v>
      </c>
      <c r="T48" s="3">
        <v>1.5486194477791118</v>
      </c>
      <c r="U48" s="3">
        <v>46.088856399739733</v>
      </c>
      <c r="V48" s="3">
        <v>57.619109434331456</v>
      </c>
      <c r="W48" s="3">
        <v>1135.1363264926003</v>
      </c>
      <c r="X48" s="3">
        <v>11.691287339554767</v>
      </c>
      <c r="Y48" s="3">
        <v>1043.6592398320001</v>
      </c>
      <c r="Z48" s="3">
        <v>1.5178546257035535</v>
      </c>
      <c r="AA48" s="3">
        <v>3.2352941176470589</v>
      </c>
      <c r="AB48" s="3">
        <v>1.2004801920768309</v>
      </c>
      <c r="AC48" s="3">
        <v>23.409363745498201</v>
      </c>
      <c r="AD48" s="3">
        <v>1.8607442977190878</v>
      </c>
      <c r="AE48" s="3">
        <v>0.99796259346107563</v>
      </c>
    </row>
    <row r="49" spans="1:49" ht="23.4" hidden="1" x14ac:dyDescent="0.45">
      <c r="A49" s="2" t="s">
        <v>159</v>
      </c>
      <c r="B49" s="2" t="s">
        <v>27</v>
      </c>
      <c r="C49" s="2">
        <v>12</v>
      </c>
      <c r="D49" s="2" t="s">
        <v>204</v>
      </c>
      <c r="E49" s="2"/>
      <c r="F49" s="2" t="s">
        <v>211</v>
      </c>
      <c r="G49" s="2" t="s">
        <v>205</v>
      </c>
      <c r="H49" s="2" t="s">
        <v>207</v>
      </c>
      <c r="I49" s="2" t="s">
        <v>139</v>
      </c>
      <c r="J49" s="3">
        <v>32.884717551059644</v>
      </c>
      <c r="K49" s="3">
        <v>3.9247711854264096</v>
      </c>
      <c r="L49" s="3">
        <v>0.20651310563939634</v>
      </c>
      <c r="M49" s="3">
        <v>35.746678645488636</v>
      </c>
      <c r="N49" s="3">
        <v>0.28434629349938123</v>
      </c>
      <c r="O49" s="3">
        <v>3.4310314964799358</v>
      </c>
      <c r="P49" s="3">
        <v>1.8321619502089197</v>
      </c>
      <c r="Q49" s="3">
        <v>32.839186584993485</v>
      </c>
      <c r="R49" s="3">
        <v>0.36139793486894356</v>
      </c>
      <c r="S49" s="3">
        <v>0.34948371723590149</v>
      </c>
      <c r="T49" s="3">
        <v>2.2452317486655997</v>
      </c>
      <c r="U49" s="3">
        <v>8.4735600295729938</v>
      </c>
      <c r="V49" s="3">
        <v>596.61296329417939</v>
      </c>
      <c r="W49" s="3">
        <v>881.82345137872119</v>
      </c>
      <c r="X49" s="3">
        <v>2.2542924078560125</v>
      </c>
      <c r="Y49" s="3">
        <v>2628.5966467736216</v>
      </c>
      <c r="Z49" s="3">
        <v>10.117729973413025</v>
      </c>
      <c r="AA49" s="3">
        <v>1.0874779229183715</v>
      </c>
      <c r="AB49" s="3">
        <v>0.79428117553613975</v>
      </c>
      <c r="AC49" s="3">
        <v>16.343250277821287</v>
      </c>
      <c r="AD49" s="3">
        <v>1.2311358220810167</v>
      </c>
      <c r="AE49" s="3">
        <v>7.3798314298846863</v>
      </c>
    </row>
    <row r="50" spans="1:49" ht="23.4" hidden="1" x14ac:dyDescent="0.45">
      <c r="A50" s="2" t="s">
        <v>182</v>
      </c>
      <c r="B50" s="2" t="s">
        <v>86</v>
      </c>
      <c r="C50" s="2">
        <v>12</v>
      </c>
      <c r="D50" s="2" t="s">
        <v>204</v>
      </c>
      <c r="E50" s="2"/>
      <c r="F50" s="2" t="s">
        <v>211</v>
      </c>
      <c r="G50" s="2" t="s">
        <v>205</v>
      </c>
      <c r="H50" s="2" t="s">
        <v>207</v>
      </c>
      <c r="I50" s="2" t="s">
        <v>137</v>
      </c>
      <c r="J50" s="3">
        <v>261.07983270867402</v>
      </c>
      <c r="K50" s="3">
        <v>88.214142065009199</v>
      </c>
      <c r="L50" s="3">
        <v>37.459022642651199</v>
      </c>
      <c r="M50" s="3">
        <v>6.4432430481188598</v>
      </c>
      <c r="N50" s="3">
        <v>18.257402079579901</v>
      </c>
      <c r="O50" s="3">
        <v>17.5675809282084</v>
      </c>
      <c r="P50" s="3">
        <v>3.76329439844171</v>
      </c>
      <c r="Q50" s="3">
        <v>3.5207321636872102</v>
      </c>
      <c r="R50" s="3">
        <v>9.8479158038180596</v>
      </c>
      <c r="S50" s="3">
        <v>38.980230028606499</v>
      </c>
      <c r="T50" s="3">
        <v>516.68470375337097</v>
      </c>
      <c r="U50" s="3">
        <v>96.871033593480604</v>
      </c>
      <c r="V50" s="3">
        <v>785.23507542210996</v>
      </c>
      <c r="W50" s="3">
        <v>419.65763190327101</v>
      </c>
      <c r="X50" s="3">
        <v>364.201192091949</v>
      </c>
      <c r="Y50" s="3">
        <v>12224.253604253499</v>
      </c>
      <c r="Z50" s="3">
        <v>43.520354595544397</v>
      </c>
      <c r="AA50" s="3">
        <v>149.489002110798</v>
      </c>
      <c r="AB50" s="3">
        <v>82.932197350547</v>
      </c>
      <c r="AC50" s="3">
        <v>155.66756446441801</v>
      </c>
      <c r="AD50" s="3">
        <v>1302.3786074868301</v>
      </c>
      <c r="AE50" s="3">
        <v>136.246156263187</v>
      </c>
    </row>
    <row r="51" spans="1:49" ht="23.4" hidden="1" x14ac:dyDescent="0.45">
      <c r="A51" s="2" t="s">
        <v>65</v>
      </c>
      <c r="B51" s="2" t="s">
        <v>27</v>
      </c>
      <c r="C51" s="2">
        <v>13</v>
      </c>
      <c r="D51" s="2" t="s">
        <v>205</v>
      </c>
      <c r="E51" s="2" t="s">
        <v>210</v>
      </c>
      <c r="F51" s="2" t="s">
        <v>211</v>
      </c>
      <c r="G51" s="2" t="s">
        <v>205</v>
      </c>
      <c r="H51" s="2" t="s">
        <v>207</v>
      </c>
      <c r="I51" s="2" t="s">
        <v>56</v>
      </c>
      <c r="J51" s="3">
        <v>26.823840849928299</v>
      </c>
      <c r="K51" s="3">
        <v>5.6380682678106657</v>
      </c>
      <c r="L51" s="3">
        <v>0.88835747395793363</v>
      </c>
      <c r="M51" s="3">
        <v>112.97940032056168</v>
      </c>
      <c r="N51" s="3">
        <v>0.15820000000000001</v>
      </c>
      <c r="O51" s="3">
        <v>3.4854875423245462</v>
      </c>
      <c r="P51" s="3">
        <v>3.613058452284526E-2</v>
      </c>
      <c r="Q51" s="3">
        <v>6.1514370530272124</v>
      </c>
      <c r="R51" s="3">
        <v>0.1729</v>
      </c>
      <c r="S51" s="3">
        <v>0.32008476532806585</v>
      </c>
      <c r="T51" s="3">
        <v>29.238046655986754</v>
      </c>
      <c r="U51" s="3">
        <v>46.65509144598186</v>
      </c>
      <c r="V51" s="3">
        <v>17.964322873360214</v>
      </c>
      <c r="W51" s="3">
        <v>2049.8317071528877</v>
      </c>
      <c r="X51" s="3">
        <v>7.0345093128998446</v>
      </c>
      <c r="Y51" s="3">
        <v>89.085056435571914</v>
      </c>
      <c r="Z51" s="3">
        <v>0.25900000000000001</v>
      </c>
      <c r="AA51" s="3">
        <v>3.5328168779934286</v>
      </c>
      <c r="AB51" s="3">
        <v>12.139324000386349</v>
      </c>
      <c r="AC51" s="3">
        <v>0.84980311753973525</v>
      </c>
      <c r="AD51" s="3">
        <v>3.7848232510443856</v>
      </c>
      <c r="AE51" s="3">
        <v>6.91588785046729</v>
      </c>
    </row>
    <row r="52" spans="1:49" ht="23.4" hidden="1" x14ac:dyDescent="0.45">
      <c r="A52" s="2" t="s">
        <v>183</v>
      </c>
      <c r="B52" s="2" t="s">
        <v>86</v>
      </c>
      <c r="C52" s="2">
        <v>13</v>
      </c>
      <c r="D52" s="2" t="s">
        <v>205</v>
      </c>
      <c r="E52" s="2" t="s">
        <v>210</v>
      </c>
      <c r="F52" s="2" t="s">
        <v>211</v>
      </c>
      <c r="G52" s="2" t="s">
        <v>205</v>
      </c>
      <c r="H52" s="2" t="s">
        <v>207</v>
      </c>
      <c r="I52" s="2" t="s">
        <v>137</v>
      </c>
      <c r="J52" s="3">
        <v>704.907059841815</v>
      </c>
      <c r="K52" s="3">
        <v>23.837741283287599</v>
      </c>
      <c r="L52" s="3">
        <v>11.197222589216601</v>
      </c>
      <c r="M52" s="3">
        <v>1.3949030599225001</v>
      </c>
      <c r="N52" s="3">
        <v>0.64280183982090899</v>
      </c>
      <c r="O52" s="3">
        <v>1.2552474435238199</v>
      </c>
      <c r="P52" s="3">
        <v>7.0000000000000007E-2</v>
      </c>
      <c r="Q52" s="3">
        <v>4.0904124513698497</v>
      </c>
      <c r="R52" s="3">
        <v>0.45500000000000002</v>
      </c>
      <c r="S52" s="3">
        <v>0.44</v>
      </c>
      <c r="T52" s="3">
        <v>23.1748698513309</v>
      </c>
      <c r="U52" s="3">
        <v>55.556158809094299</v>
      </c>
      <c r="V52" s="3">
        <v>569.07818324570496</v>
      </c>
      <c r="W52" s="3">
        <v>476.40517763951499</v>
      </c>
      <c r="X52" s="3">
        <v>677.802585825964</v>
      </c>
      <c r="Y52" s="3">
        <v>7727.3043276435401</v>
      </c>
      <c r="Z52" s="3">
        <v>10.9648560840723</v>
      </c>
      <c r="AA52" s="3">
        <v>22.285685547118899</v>
      </c>
      <c r="AB52" s="3">
        <v>66.853911895470105</v>
      </c>
      <c r="AC52" s="3">
        <v>319.96479179462301</v>
      </c>
      <c r="AD52" s="3">
        <v>647.76117390673403</v>
      </c>
      <c r="AE52" s="3">
        <v>209.594205416265</v>
      </c>
    </row>
    <row r="53" spans="1:49" ht="23.4" hidden="1" x14ac:dyDescent="0.45">
      <c r="A53" s="2" t="s">
        <v>160</v>
      </c>
      <c r="B53" s="2" t="s">
        <v>27</v>
      </c>
      <c r="C53" s="2">
        <v>13</v>
      </c>
      <c r="D53" s="2" t="s">
        <v>205</v>
      </c>
      <c r="E53" s="2" t="s">
        <v>210</v>
      </c>
      <c r="F53" s="2" t="s">
        <v>211</v>
      </c>
      <c r="G53" s="2" t="s">
        <v>205</v>
      </c>
      <c r="H53" s="2" t="s">
        <v>207</v>
      </c>
      <c r="I53" s="2" t="s">
        <v>28</v>
      </c>
      <c r="J53" s="3">
        <v>16.411246246284755</v>
      </c>
      <c r="K53" s="3">
        <v>2.8371151120972624</v>
      </c>
      <c r="L53" s="3">
        <v>0.42622950819672134</v>
      </c>
      <c r="M53" s="3">
        <v>426.01652531756724</v>
      </c>
      <c r="N53" s="3">
        <v>0.12140674698741494</v>
      </c>
      <c r="O53" s="3">
        <v>8.619547959404624</v>
      </c>
      <c r="P53" s="3">
        <v>1.3830321333844326</v>
      </c>
      <c r="Q53" s="3">
        <v>17.761717602161312</v>
      </c>
      <c r="R53" s="3">
        <v>0.74590163934426235</v>
      </c>
      <c r="S53" s="3">
        <v>0.72131147540983609</v>
      </c>
      <c r="T53" s="3">
        <v>4.6340111009344103</v>
      </c>
      <c r="U53" s="3">
        <v>140.16077783155723</v>
      </c>
      <c r="V53" s="3">
        <v>60.36762592986279</v>
      </c>
      <c r="W53" s="3">
        <v>1395.6354024657558</v>
      </c>
      <c r="X53" s="3">
        <v>6.569012376179705</v>
      </c>
      <c r="Y53" s="3">
        <v>269.81303161901968</v>
      </c>
      <c r="Z53" s="3">
        <v>0.30327868852459017</v>
      </c>
      <c r="AA53" s="3">
        <v>4.418032786885246</v>
      </c>
      <c r="AB53" s="3">
        <v>0.63934426229508201</v>
      </c>
      <c r="AC53" s="3">
        <v>31.967213114754099</v>
      </c>
      <c r="AD53" s="3">
        <v>2.540983606557377</v>
      </c>
      <c r="AE53" s="3">
        <v>5.3897659423233613</v>
      </c>
    </row>
    <row r="54" spans="1:49" ht="23.4" hidden="1" x14ac:dyDescent="0.45">
      <c r="A54" s="2" t="s">
        <v>161</v>
      </c>
      <c r="B54" s="2" t="s">
        <v>27</v>
      </c>
      <c r="C54" s="2">
        <v>13</v>
      </c>
      <c r="D54" s="2" t="s">
        <v>205</v>
      </c>
      <c r="E54" s="2" t="s">
        <v>210</v>
      </c>
      <c r="F54" s="2" t="s">
        <v>211</v>
      </c>
      <c r="G54" s="2" t="s">
        <v>205</v>
      </c>
      <c r="H54" s="2" t="s">
        <v>207</v>
      </c>
      <c r="I54" s="2" t="s">
        <v>139</v>
      </c>
      <c r="J54" s="3">
        <v>34.565430339882163</v>
      </c>
      <c r="K54" s="3">
        <v>8.4313704220818551</v>
      </c>
      <c r="L54" s="3">
        <v>0.30915576694411417</v>
      </c>
      <c r="M54" s="3">
        <v>181.21515558262783</v>
      </c>
      <c r="N54" s="3">
        <v>0.25666263861071464</v>
      </c>
      <c r="O54" s="3">
        <v>8.5040497899805594</v>
      </c>
      <c r="P54" s="3">
        <v>0.15597125894479549</v>
      </c>
      <c r="Q54" s="3">
        <v>75.431139189086338</v>
      </c>
      <c r="R54" s="3">
        <v>0.54102259215219983</v>
      </c>
      <c r="S54" s="3">
        <v>0.52318668252080858</v>
      </c>
      <c r="T54" s="3">
        <v>11.336390621384542</v>
      </c>
      <c r="U54" s="3">
        <v>81.563985453236626</v>
      </c>
      <c r="V54" s="3">
        <v>919.70043172175394</v>
      </c>
      <c r="W54" s="3">
        <v>1481.4234277515816</v>
      </c>
      <c r="X54" s="3">
        <v>30.174527409260882</v>
      </c>
      <c r="Y54" s="3">
        <v>4424.2146117816765</v>
      </c>
      <c r="Z54" s="3">
        <v>0.21997621878715815</v>
      </c>
      <c r="AA54" s="3">
        <v>3.2045184304399523</v>
      </c>
      <c r="AB54" s="3">
        <v>2.4615415997379193</v>
      </c>
      <c r="AC54" s="3">
        <v>23.186682520808564</v>
      </c>
      <c r="AD54" s="3">
        <v>1.8430439952437576</v>
      </c>
      <c r="AE54" s="3">
        <v>1.454812824337943</v>
      </c>
    </row>
    <row r="55" spans="1:49" ht="23.4" hidden="1" x14ac:dyDescent="0.45">
      <c r="A55" s="2" t="s">
        <v>121</v>
      </c>
      <c r="B55" s="2" t="s">
        <v>86</v>
      </c>
      <c r="C55" s="2">
        <v>13</v>
      </c>
      <c r="D55" s="2" t="s">
        <v>205</v>
      </c>
      <c r="E55" s="2" t="s">
        <v>210</v>
      </c>
      <c r="F55" s="2" t="s">
        <v>211</v>
      </c>
      <c r="G55" s="2" t="s">
        <v>205</v>
      </c>
      <c r="H55" s="2" t="s">
        <v>207</v>
      </c>
      <c r="I55" s="2" t="s">
        <v>30</v>
      </c>
      <c r="J55" s="3">
        <v>253.17970776315863</v>
      </c>
      <c r="K55" s="3">
        <v>46.481461347528708</v>
      </c>
      <c r="L55" s="3">
        <v>16.64533600325656</v>
      </c>
      <c r="M55" s="3">
        <v>3.8241639227937525</v>
      </c>
      <c r="N55" s="3">
        <v>4.7326512368032896</v>
      </c>
      <c r="O55" s="3">
        <v>7.9801558990975163</v>
      </c>
      <c r="P55" s="3">
        <v>1.8904247661458857</v>
      </c>
      <c r="Q55" s="3">
        <v>2.9406292983930289</v>
      </c>
      <c r="R55" s="3">
        <v>6.0670622659840978</v>
      </c>
      <c r="S55" s="3">
        <v>14.677953310483115</v>
      </c>
      <c r="T55" s="3">
        <v>135.39978582335371</v>
      </c>
      <c r="U55" s="3">
        <v>108.65725639551634</v>
      </c>
      <c r="V55" s="3">
        <v>1078.1673422319252</v>
      </c>
      <c r="W55" s="3">
        <v>426.01845477695889</v>
      </c>
      <c r="X55" s="3">
        <v>472.06711255323989</v>
      </c>
      <c r="Y55" s="3">
        <v>11740.114160930278</v>
      </c>
      <c r="Z55" s="3">
        <v>24.067831109875812</v>
      </c>
      <c r="AA55" s="3">
        <v>92.023497676599646</v>
      </c>
      <c r="AB55" s="3">
        <v>73.027500000000003</v>
      </c>
      <c r="AC55" s="3">
        <v>334.55124999999998</v>
      </c>
      <c r="AD55" s="3">
        <v>725.81669999999997</v>
      </c>
      <c r="AE55" s="3">
        <v>280.9443</v>
      </c>
      <c r="AF55">
        <v>8.1</v>
      </c>
      <c r="AG55">
        <v>4.4400000000000004</v>
      </c>
      <c r="AH55">
        <v>12.8</v>
      </c>
      <c r="AI55">
        <v>38.5</v>
      </c>
      <c r="AJ55">
        <v>87</v>
      </c>
      <c r="AK55">
        <v>28.8</v>
      </c>
      <c r="AL55">
        <v>33.299999999999997</v>
      </c>
      <c r="AM55">
        <v>0</v>
      </c>
      <c r="AN55">
        <v>63</v>
      </c>
      <c r="AO55">
        <v>1</v>
      </c>
      <c r="AP55">
        <v>1</v>
      </c>
      <c r="AQ55">
        <v>30</v>
      </c>
      <c r="AR55">
        <v>5</v>
      </c>
      <c r="AS55">
        <v>321</v>
      </c>
      <c r="AT55" s="7">
        <f t="shared" ref="AT55" si="49">AN55*AF55</f>
        <v>510.29999999999995</v>
      </c>
      <c r="AU55">
        <f t="shared" ref="AU55" si="50">AQ55*AF55</f>
        <v>243</v>
      </c>
      <c r="AV55" s="8">
        <f t="shared" ref="AV55" si="51">(AS55*AT55)/AU55</f>
        <v>674.09999999999991</v>
      </c>
      <c r="AW55" s="8">
        <f t="shared" ref="AW55" si="52">AT55/AU55</f>
        <v>2.0999999999999996</v>
      </c>
    </row>
    <row r="56" spans="1:49" ht="23.4" hidden="1" x14ac:dyDescent="0.45">
      <c r="A56" s="2" t="s">
        <v>66</v>
      </c>
      <c r="B56" s="2" t="s">
        <v>27</v>
      </c>
      <c r="C56" s="2">
        <v>14</v>
      </c>
      <c r="D56" s="2" t="s">
        <v>204</v>
      </c>
      <c r="E56" s="2" t="s">
        <v>210</v>
      </c>
      <c r="F56" s="2" t="s">
        <v>211</v>
      </c>
      <c r="G56" s="2" t="s">
        <v>205</v>
      </c>
      <c r="H56" s="2" t="s">
        <v>208</v>
      </c>
      <c r="I56" s="2" t="s">
        <v>56</v>
      </c>
      <c r="J56" s="3">
        <v>140.56550566968448</v>
      </c>
      <c r="K56" s="3">
        <v>48.475041961012977</v>
      </c>
      <c r="L56" s="3">
        <v>1.2160458385522241</v>
      </c>
      <c r="M56" s="3">
        <v>196.12692041028714</v>
      </c>
      <c r="N56" s="3">
        <v>0.15820000000000001</v>
      </c>
      <c r="O56" s="3">
        <v>10.009568129106739</v>
      </c>
      <c r="P56" s="3">
        <v>6.1747935634950153</v>
      </c>
      <c r="Q56" s="3">
        <v>9.9835349809489138</v>
      </c>
      <c r="R56" s="3">
        <v>0.1729</v>
      </c>
      <c r="S56" s="3">
        <v>0.43815441224012425</v>
      </c>
      <c r="T56" s="3">
        <v>36.654222462418069</v>
      </c>
      <c r="U56" s="3">
        <v>35.792190992193937</v>
      </c>
      <c r="V56" s="3">
        <v>377.6378630381804</v>
      </c>
      <c r="W56" s="3">
        <v>5319.0852838968904</v>
      </c>
      <c r="X56" s="3">
        <v>47.644405291725505</v>
      </c>
      <c r="Y56" s="3">
        <v>1129.4416417394516</v>
      </c>
      <c r="Z56" s="3">
        <v>12.04084487048352</v>
      </c>
      <c r="AA56" s="3">
        <v>4.8359668137991063</v>
      </c>
      <c r="AB56" s="3">
        <v>15.872071672836309</v>
      </c>
      <c r="AC56" s="3">
        <v>3.3758869681222921</v>
      </c>
      <c r="AD56" s="3">
        <v>4.4947106487022204</v>
      </c>
      <c r="AE56" s="3">
        <v>9.4669509594882744</v>
      </c>
    </row>
    <row r="57" spans="1:49" ht="23.4" hidden="1" x14ac:dyDescent="0.45">
      <c r="A57" s="2" t="s">
        <v>184</v>
      </c>
      <c r="B57" s="2" t="s">
        <v>86</v>
      </c>
      <c r="C57" s="2">
        <v>14</v>
      </c>
      <c r="D57" s="2" t="s">
        <v>204</v>
      </c>
      <c r="E57" s="2" t="s">
        <v>210</v>
      </c>
      <c r="F57" s="2" t="s">
        <v>211</v>
      </c>
      <c r="G57" s="2" t="s">
        <v>205</v>
      </c>
      <c r="H57" s="2" t="s">
        <v>208</v>
      </c>
      <c r="I57" s="2" t="s">
        <v>137</v>
      </c>
      <c r="J57" s="3">
        <v>536.005786907176</v>
      </c>
      <c r="K57" s="3">
        <v>14.779696445632201</v>
      </c>
      <c r="L57" s="3">
        <v>1.81337708196047</v>
      </c>
      <c r="M57" s="3">
        <v>2.84596431247056</v>
      </c>
      <c r="N57" s="3">
        <v>0.14495569736696701</v>
      </c>
      <c r="O57" s="3">
        <v>0.37842216896747699</v>
      </c>
      <c r="P57" s="3">
        <v>9.2663219755222208</v>
      </c>
      <c r="Q57" s="3">
        <v>2.5817956741638199</v>
      </c>
      <c r="R57" s="3">
        <v>3.2910303717281302</v>
      </c>
      <c r="S57" s="3">
        <v>2.4064981257277598</v>
      </c>
      <c r="T57" s="3">
        <v>1.29</v>
      </c>
      <c r="U57" s="3">
        <v>64.783777445149994</v>
      </c>
      <c r="V57" s="3">
        <v>379.97636593405201</v>
      </c>
      <c r="W57" s="3">
        <v>1457.50872094602</v>
      </c>
      <c r="X57" s="3">
        <v>1251.10007574117</v>
      </c>
      <c r="Y57" s="3">
        <v>4734.1281288476002</v>
      </c>
      <c r="Z57" s="3">
        <v>12.9063301144032</v>
      </c>
      <c r="AA57" s="3">
        <v>30.8363406612667</v>
      </c>
      <c r="AB57" s="3">
        <v>58.299005471891398</v>
      </c>
      <c r="AC57" s="3">
        <v>180.43526795387501</v>
      </c>
      <c r="AD57" s="3">
        <v>222.50286901028699</v>
      </c>
      <c r="AE57" s="3">
        <v>96.937951608749202</v>
      </c>
      <c r="AF57">
        <v>8.6999999999999993</v>
      </c>
      <c r="AG57">
        <v>3.59</v>
      </c>
      <c r="AH57">
        <v>10</v>
      </c>
      <c r="AI57">
        <v>31.2</v>
      </c>
      <c r="AJ57">
        <v>87</v>
      </c>
      <c r="AK57">
        <v>27.9</v>
      </c>
      <c r="AL57">
        <v>32.200000000000003</v>
      </c>
      <c r="AM57">
        <v>0</v>
      </c>
      <c r="AN57">
        <v>58</v>
      </c>
      <c r="AO57">
        <v>1</v>
      </c>
      <c r="AP57">
        <v>0</v>
      </c>
      <c r="AQ57">
        <v>35</v>
      </c>
      <c r="AR57">
        <v>6</v>
      </c>
      <c r="AS57">
        <v>292</v>
      </c>
      <c r="AT57" s="7">
        <f t="shared" ref="AT57" si="53">AN57*AF57</f>
        <v>504.59999999999997</v>
      </c>
      <c r="AU57">
        <f t="shared" ref="AU57" si="54">AQ57*AF57</f>
        <v>304.5</v>
      </c>
      <c r="AV57" s="8">
        <f t="shared" ref="AV57" si="55">(AS57*AT57)/AU57</f>
        <v>483.88571428571424</v>
      </c>
      <c r="AW57" s="8">
        <f t="shared" ref="AW57" si="56">AT57/AU57</f>
        <v>1.657142857142857</v>
      </c>
    </row>
    <row r="58" spans="1:49" ht="23.4" hidden="1" x14ac:dyDescent="0.45">
      <c r="A58" s="2" t="s">
        <v>162</v>
      </c>
      <c r="B58" s="2" t="s">
        <v>27</v>
      </c>
      <c r="C58" s="2">
        <v>14</v>
      </c>
      <c r="D58" s="2" t="s">
        <v>204</v>
      </c>
      <c r="E58" s="2" t="s">
        <v>210</v>
      </c>
      <c r="F58" s="2" t="s">
        <v>211</v>
      </c>
      <c r="G58" s="2" t="s">
        <v>205</v>
      </c>
      <c r="H58" s="2" t="s">
        <v>208</v>
      </c>
      <c r="I58" s="2" t="s">
        <v>28</v>
      </c>
      <c r="J58" s="3">
        <v>93.170354851594425</v>
      </c>
      <c r="K58" s="3">
        <v>31.815994435614826</v>
      </c>
      <c r="L58" s="3">
        <v>5.4745972864810817</v>
      </c>
      <c r="M58" s="3">
        <v>212.88028193138462</v>
      </c>
      <c r="N58" s="3">
        <v>0.71667321350091295</v>
      </c>
      <c r="O58" s="3">
        <v>11.339527962107024</v>
      </c>
      <c r="P58" s="3">
        <v>48.666381771909585</v>
      </c>
      <c r="Q58" s="3">
        <v>226.18372799764435</v>
      </c>
      <c r="R58" s="3">
        <v>0.50724637681159424</v>
      </c>
      <c r="S58" s="3">
        <v>1.1859637168721848</v>
      </c>
      <c r="T58" s="3">
        <v>13.843531384243143</v>
      </c>
      <c r="U58" s="3">
        <v>92.586147522462539</v>
      </c>
      <c r="V58" s="3">
        <v>875.55975290145375</v>
      </c>
      <c r="W58" s="3">
        <v>2275.6790629103903</v>
      </c>
      <c r="X58" s="3">
        <v>196.42574496972577</v>
      </c>
      <c r="Y58" s="3">
        <v>3916.2613401679373</v>
      </c>
      <c r="Z58" s="3">
        <v>18.0238559122126</v>
      </c>
      <c r="AA58" s="3">
        <v>12.897269552412151</v>
      </c>
      <c r="AB58" s="3">
        <v>16.677654340449273</v>
      </c>
      <c r="AC58" s="3">
        <v>38.253001241906915</v>
      </c>
      <c r="AD58" s="3">
        <v>1.7279821627647716</v>
      </c>
      <c r="AE58" s="3">
        <v>13.061653933052732</v>
      </c>
    </row>
    <row r="59" spans="1:49" ht="23.4" hidden="1" x14ac:dyDescent="0.45">
      <c r="A59" s="2" t="s">
        <v>163</v>
      </c>
      <c r="B59" s="2" t="s">
        <v>27</v>
      </c>
      <c r="C59" s="2">
        <v>14</v>
      </c>
      <c r="D59" s="2" t="s">
        <v>204</v>
      </c>
      <c r="E59" s="2" t="s">
        <v>210</v>
      </c>
      <c r="F59" s="2" t="s">
        <v>211</v>
      </c>
      <c r="G59" s="2" t="s">
        <v>205</v>
      </c>
      <c r="H59" s="2" t="s">
        <v>208</v>
      </c>
      <c r="I59" s="2" t="s">
        <v>139</v>
      </c>
      <c r="J59" s="3">
        <v>151.01899775469812</v>
      </c>
      <c r="K59" s="3">
        <v>15.112805706629983</v>
      </c>
      <c r="L59" s="3">
        <v>3.4625690858447946</v>
      </c>
      <c r="M59" s="3">
        <v>432.30547502890414</v>
      </c>
      <c r="N59" s="3">
        <v>1.7113500525060754</v>
      </c>
      <c r="O59" s="3">
        <v>17.664677346590413</v>
      </c>
      <c r="P59" s="3">
        <v>38.965374314858394</v>
      </c>
      <c r="Q59" s="3">
        <v>1391.3865517780789</v>
      </c>
      <c r="R59" s="3">
        <v>13.301252304042483</v>
      </c>
      <c r="S59" s="3">
        <v>2.9711537497963358</v>
      </c>
      <c r="T59" s="3">
        <v>52.355806989615928</v>
      </c>
      <c r="U59" s="3">
        <v>94.5636158092709</v>
      </c>
      <c r="V59" s="3">
        <v>82118.957638605483</v>
      </c>
      <c r="W59" s="3">
        <v>3282.3868054226714</v>
      </c>
      <c r="X59" s="3">
        <v>308.17160191939723</v>
      </c>
      <c r="Y59" s="3">
        <v>148981.44236947654</v>
      </c>
      <c r="Z59" s="3">
        <v>52.229373851834417</v>
      </c>
      <c r="AA59" s="3">
        <v>75.31344779455172</v>
      </c>
      <c r="AB59" s="3">
        <v>640.14216396801885</v>
      </c>
      <c r="AC59" s="3">
        <v>176.07091560940071</v>
      </c>
      <c r="AD59" s="3">
        <v>105.63298983785292</v>
      </c>
      <c r="AE59" s="3">
        <v>130.35502097039333</v>
      </c>
    </row>
    <row r="60" spans="1:49" ht="23.4" hidden="1" x14ac:dyDescent="0.45">
      <c r="A60" s="2" t="s">
        <v>122</v>
      </c>
      <c r="B60" s="2" t="s">
        <v>86</v>
      </c>
      <c r="C60" s="2">
        <v>14</v>
      </c>
      <c r="D60" s="2" t="s">
        <v>204</v>
      </c>
      <c r="E60" s="2" t="s">
        <v>210</v>
      </c>
      <c r="F60" s="2" t="s">
        <v>211</v>
      </c>
      <c r="G60" s="2" t="s">
        <v>205</v>
      </c>
      <c r="H60" s="2" t="s">
        <v>208</v>
      </c>
      <c r="I60" s="2" t="s">
        <v>30</v>
      </c>
      <c r="J60" s="3">
        <v>373.05189913480183</v>
      </c>
      <c r="K60" s="3">
        <v>17.842085280476137</v>
      </c>
      <c r="L60" s="3">
        <v>9.6945068656869342</v>
      </c>
      <c r="M60" s="3">
        <v>2.0945416678977873</v>
      </c>
      <c r="N60" s="3">
        <v>0.73629673134134965</v>
      </c>
      <c r="O60" s="3">
        <v>3.6297655610106827</v>
      </c>
      <c r="P60" s="3">
        <v>0.63332119161698242</v>
      </c>
      <c r="Q60" s="3">
        <v>5.1463142094122647</v>
      </c>
      <c r="R60" s="3">
        <v>2.3041951099600091</v>
      </c>
      <c r="S60" s="3">
        <v>9.72310724442519</v>
      </c>
      <c r="T60" s="3">
        <v>74.022570709772253</v>
      </c>
      <c r="U60" s="3">
        <v>91.789727845303588</v>
      </c>
      <c r="V60" s="3">
        <v>1386.2340522848049</v>
      </c>
      <c r="W60" s="3">
        <v>408.901994587057</v>
      </c>
      <c r="X60" s="3">
        <v>985.77519699454308</v>
      </c>
      <c r="Y60" s="3">
        <v>34884.90013455422</v>
      </c>
      <c r="Z60" s="3">
        <v>16.068119373261538</v>
      </c>
      <c r="AA60" s="3">
        <v>50.976279065562373</v>
      </c>
      <c r="AB60" s="3">
        <v>87.340499999999992</v>
      </c>
      <c r="AC60" s="3">
        <v>149.42684999999997</v>
      </c>
      <c r="AD60" s="3">
        <v>550.9759499999999</v>
      </c>
      <c r="AE60" s="3">
        <v>109.63679999999999</v>
      </c>
      <c r="AF60">
        <v>7.7</v>
      </c>
      <c r="AG60">
        <v>4.01</v>
      </c>
      <c r="AH60">
        <v>10.5</v>
      </c>
      <c r="AI60">
        <v>32.9</v>
      </c>
      <c r="AJ60">
        <v>83</v>
      </c>
      <c r="AK60">
        <v>26.1</v>
      </c>
      <c r="AL60">
        <v>31.9</v>
      </c>
      <c r="AM60">
        <v>0</v>
      </c>
      <c r="AN60">
        <v>56</v>
      </c>
      <c r="AO60">
        <v>2</v>
      </c>
      <c r="AP60">
        <v>0</v>
      </c>
      <c r="AQ60">
        <v>34</v>
      </c>
      <c r="AR60">
        <v>8</v>
      </c>
      <c r="AS60">
        <v>272</v>
      </c>
      <c r="AT60" s="7">
        <f t="shared" ref="AT60" si="57">AN60*AF60</f>
        <v>431.2</v>
      </c>
      <c r="AU60">
        <f t="shared" ref="AU60" si="58">AQ60*AF60</f>
        <v>261.8</v>
      </c>
      <c r="AV60" s="8">
        <f t="shared" ref="AV60" si="59">(AS60*AT60)/AU60</f>
        <v>447.99999999999994</v>
      </c>
      <c r="AW60" s="8">
        <f t="shared" ref="AW60" si="60">AT60/AU60</f>
        <v>1.6470588235294117</v>
      </c>
    </row>
    <row r="61" spans="1:49" ht="23.4" hidden="1" x14ac:dyDescent="0.45">
      <c r="A61" s="2" t="s">
        <v>67</v>
      </c>
      <c r="B61" s="2" t="s">
        <v>27</v>
      </c>
      <c r="C61" s="2">
        <v>15</v>
      </c>
      <c r="D61" s="2" t="s">
        <v>205</v>
      </c>
      <c r="E61" s="2"/>
      <c r="F61" s="2" t="s">
        <v>211</v>
      </c>
      <c r="G61" s="2" t="s">
        <v>205</v>
      </c>
      <c r="H61" s="2" t="s">
        <v>208</v>
      </c>
      <c r="I61" s="2" t="s">
        <v>56</v>
      </c>
      <c r="J61" s="3">
        <v>36.99673246010402</v>
      </c>
      <c r="K61" s="3">
        <v>10.679372702248662</v>
      </c>
      <c r="L61" s="3">
        <v>3.5570366621444505</v>
      </c>
      <c r="M61" s="3">
        <v>2076.543280883162</v>
      </c>
      <c r="N61" s="3">
        <v>0.15820000000000001</v>
      </c>
      <c r="O61" s="3">
        <v>7.7536693106423664</v>
      </c>
      <c r="P61" s="3">
        <v>9.2288959036798879</v>
      </c>
      <c r="Q61" s="3">
        <v>292.01301511529181</v>
      </c>
      <c r="R61" s="3">
        <v>0.1729</v>
      </c>
      <c r="S61" s="3">
        <v>2.8296029483474889</v>
      </c>
      <c r="T61" s="3">
        <v>46.185901528415897</v>
      </c>
      <c r="U61" s="3">
        <v>0.47435000000000005</v>
      </c>
      <c r="V61" s="3">
        <v>91.012638092364696</v>
      </c>
      <c r="W61" s="3">
        <v>3443.2586644892867</v>
      </c>
      <c r="X61" s="3">
        <v>8.7809827212701599</v>
      </c>
      <c r="Y61" s="3">
        <v>292.66379002352187</v>
      </c>
      <c r="Z61" s="3">
        <v>0.25900000000000001</v>
      </c>
      <c r="AA61" s="3">
        <v>9.0038904723975097</v>
      </c>
      <c r="AB61" s="3">
        <v>21.06644557559909</v>
      </c>
      <c r="AC61" s="3">
        <v>8.8848915020627972E-2</v>
      </c>
      <c r="AD61" s="3">
        <v>2.7692307692307696</v>
      </c>
      <c r="AE61" s="3">
        <v>13.136094674556215</v>
      </c>
    </row>
    <row r="62" spans="1:49" ht="23.4" hidden="1" x14ac:dyDescent="0.45">
      <c r="A62" s="2" t="s">
        <v>85</v>
      </c>
      <c r="B62" s="2" t="s">
        <v>86</v>
      </c>
      <c r="C62" s="2">
        <v>15</v>
      </c>
      <c r="D62" s="2" t="s">
        <v>205</v>
      </c>
      <c r="E62" s="2"/>
      <c r="F62" s="2" t="s">
        <v>211</v>
      </c>
      <c r="G62" s="2" t="s">
        <v>205</v>
      </c>
      <c r="H62" s="2" t="s">
        <v>208</v>
      </c>
      <c r="I62" s="2" t="s">
        <v>28</v>
      </c>
      <c r="J62" s="3">
        <v>264.27374573784084</v>
      </c>
      <c r="K62" s="3">
        <v>17.793158768747215</v>
      </c>
      <c r="L62" s="3">
        <v>10.402501211372725</v>
      </c>
      <c r="M62" s="3">
        <v>6.8785762656664389</v>
      </c>
      <c r="N62" s="3">
        <v>1.1904573522300843</v>
      </c>
      <c r="O62" s="3">
        <v>4.5155043344927934</v>
      </c>
      <c r="P62" s="3">
        <v>22.719563639382123</v>
      </c>
      <c r="Q62" s="3">
        <v>8.2836449630009827</v>
      </c>
      <c r="R62" s="3">
        <v>1.7624027489731635</v>
      </c>
      <c r="S62" s="3">
        <v>24.841530322529024</v>
      </c>
      <c r="T62" s="3">
        <v>117.84255855315966</v>
      </c>
      <c r="U62" s="3">
        <v>85.555708340111096</v>
      </c>
      <c r="V62" s="3">
        <v>718.11572764083655</v>
      </c>
      <c r="W62" s="3">
        <v>587.47824297835996</v>
      </c>
      <c r="X62" s="3">
        <v>573.92630885491008</v>
      </c>
      <c r="Y62" s="3">
        <v>7353.7123490254171</v>
      </c>
      <c r="Z62" s="3">
        <v>25.653927075958968</v>
      </c>
      <c r="AA62" s="3">
        <v>53.742681155155303</v>
      </c>
      <c r="AB62" s="3">
        <v>133.12649999999999</v>
      </c>
      <c r="AC62" s="3">
        <v>64.727999999999994</v>
      </c>
      <c r="AD62" s="3">
        <v>442.35869999999994</v>
      </c>
      <c r="AE62" s="3">
        <v>532.04969999999992</v>
      </c>
      <c r="AF62">
        <v>4.0999999999999996</v>
      </c>
      <c r="AG62">
        <v>4.6100000000000003</v>
      </c>
      <c r="AH62">
        <v>13.3</v>
      </c>
      <c r="AI62">
        <v>39.700000000000003</v>
      </c>
      <c r="AJ62">
        <v>86</v>
      </c>
      <c r="AK62">
        <v>28.9</v>
      </c>
      <c r="AL62">
        <v>33.6</v>
      </c>
      <c r="AM62">
        <v>0</v>
      </c>
      <c r="AN62">
        <v>67</v>
      </c>
      <c r="AO62">
        <v>2</v>
      </c>
      <c r="AP62">
        <v>0</v>
      </c>
      <c r="AQ62">
        <v>23</v>
      </c>
      <c r="AR62">
        <v>8</v>
      </c>
      <c r="AS62">
        <v>195</v>
      </c>
      <c r="AT62" s="7">
        <f t="shared" ref="AT62:AT63" si="61">AN62*AF62</f>
        <v>274.7</v>
      </c>
      <c r="AU62">
        <f t="shared" ref="AU62:AU63" si="62">AQ62*AF62</f>
        <v>94.3</v>
      </c>
      <c r="AV62" s="8">
        <f t="shared" ref="AV62:AV63" si="63">(AS62*AT62)/AU62</f>
        <v>568.04347826086962</v>
      </c>
      <c r="AW62" s="8">
        <f t="shared" ref="AW62:AW63" si="64">AT62/AU62</f>
        <v>2.9130434782608696</v>
      </c>
    </row>
    <row r="63" spans="1:49" ht="23.4" hidden="1" x14ac:dyDescent="0.45">
      <c r="A63" s="2" t="s">
        <v>87</v>
      </c>
      <c r="B63" s="2" t="s">
        <v>86</v>
      </c>
      <c r="C63" s="2">
        <v>15</v>
      </c>
      <c r="D63" s="2" t="s">
        <v>205</v>
      </c>
      <c r="E63" s="2"/>
      <c r="F63" s="2" t="s">
        <v>211</v>
      </c>
      <c r="G63" s="2" t="s">
        <v>205</v>
      </c>
      <c r="H63" s="2" t="s">
        <v>208</v>
      </c>
      <c r="I63" s="2" t="s">
        <v>30</v>
      </c>
      <c r="J63" s="3">
        <v>153.73150445180971</v>
      </c>
      <c r="K63" s="3">
        <v>27.590530088585421</v>
      </c>
      <c r="L63" s="3">
        <v>10.412885366500435</v>
      </c>
      <c r="M63" s="3">
        <v>9.5043474423708378</v>
      </c>
      <c r="N63" s="3">
        <v>1.2465748460803052</v>
      </c>
      <c r="O63" s="3">
        <v>6.2585119251655073</v>
      </c>
      <c r="P63" s="3">
        <v>37.020635043419901</v>
      </c>
      <c r="Q63" s="3">
        <v>5.2538920689697557</v>
      </c>
      <c r="R63" s="3">
        <v>1.7624027489731635</v>
      </c>
      <c r="S63" s="3">
        <v>24.820660841672851</v>
      </c>
      <c r="T63" s="3">
        <v>107.52378445454778</v>
      </c>
      <c r="U63" s="3">
        <v>85.564207794093846</v>
      </c>
      <c r="V63" s="3">
        <v>896.98513491129575</v>
      </c>
      <c r="W63" s="3">
        <v>436.90106834806551</v>
      </c>
      <c r="X63" s="3">
        <v>994.1894954004747</v>
      </c>
      <c r="Y63" s="3">
        <v>9195.2875849893808</v>
      </c>
      <c r="Z63" s="3">
        <v>31.902629601279447</v>
      </c>
      <c r="AA63" s="3">
        <v>62.453055151988202</v>
      </c>
      <c r="AB63" s="3">
        <v>112.49549999999999</v>
      </c>
      <c r="AC63" s="3">
        <v>99.011799999999994</v>
      </c>
      <c r="AD63" s="3">
        <v>436.03979999999996</v>
      </c>
      <c r="AE63" s="3">
        <v>287.9058</v>
      </c>
      <c r="AF63">
        <v>6.1</v>
      </c>
      <c r="AG63">
        <v>4.62</v>
      </c>
      <c r="AH63">
        <v>13.2</v>
      </c>
      <c r="AI63">
        <v>39.9</v>
      </c>
      <c r="AJ63">
        <v>86</v>
      </c>
      <c r="AK63">
        <v>28.5</v>
      </c>
      <c r="AL63">
        <v>33</v>
      </c>
      <c r="AM63">
        <v>0</v>
      </c>
      <c r="AN63">
        <v>65</v>
      </c>
      <c r="AO63">
        <v>2</v>
      </c>
      <c r="AP63">
        <v>1</v>
      </c>
      <c r="AQ63">
        <v>24</v>
      </c>
      <c r="AR63">
        <v>8</v>
      </c>
      <c r="AS63">
        <v>198</v>
      </c>
      <c r="AT63" s="7">
        <f t="shared" si="61"/>
        <v>396.5</v>
      </c>
      <c r="AU63">
        <f t="shared" si="62"/>
        <v>146.39999999999998</v>
      </c>
      <c r="AV63" s="8">
        <f t="shared" si="63"/>
        <v>536.25000000000011</v>
      </c>
      <c r="AW63" s="8">
        <f t="shared" si="64"/>
        <v>2.7083333333333339</v>
      </c>
    </row>
    <row r="64" spans="1:49" ht="23.4" hidden="1" x14ac:dyDescent="0.45">
      <c r="A64" s="2" t="s">
        <v>164</v>
      </c>
      <c r="B64" s="2" t="s">
        <v>27</v>
      </c>
      <c r="C64" s="2">
        <v>15</v>
      </c>
      <c r="D64" s="2" t="s">
        <v>205</v>
      </c>
      <c r="E64" s="2"/>
      <c r="F64" s="2" t="s">
        <v>211</v>
      </c>
      <c r="G64" s="2" t="s">
        <v>205</v>
      </c>
      <c r="H64" s="2" t="s">
        <v>208</v>
      </c>
      <c r="I64" s="2" t="s">
        <v>28</v>
      </c>
      <c r="J64" s="3">
        <v>13.763186635213591</v>
      </c>
      <c r="K64" s="3">
        <v>4.0240513481765969</v>
      </c>
      <c r="L64" s="3">
        <v>0.13911182450508294</v>
      </c>
      <c r="M64" s="3">
        <v>94.969945536369181</v>
      </c>
      <c r="N64" s="3">
        <v>5.8574797052654892E-2</v>
      </c>
      <c r="O64" s="3">
        <v>2.2265006404700376</v>
      </c>
      <c r="P64" s="3">
        <v>98.856153791883898</v>
      </c>
      <c r="Q64" s="3">
        <v>49.835944802312675</v>
      </c>
      <c r="R64" s="3">
        <v>0.24344569288389514</v>
      </c>
      <c r="S64" s="3">
        <v>0.23542001070090957</v>
      </c>
      <c r="T64" s="3">
        <v>1.512438080026747</v>
      </c>
      <c r="U64" s="3">
        <v>46.609896740749491</v>
      </c>
      <c r="V64" s="3">
        <v>38.016801363410536</v>
      </c>
      <c r="W64" s="3">
        <v>2209.2009397288011</v>
      </c>
      <c r="X64" s="3">
        <v>18.599334636334458</v>
      </c>
      <c r="Y64" s="3">
        <v>163.03703678704386</v>
      </c>
      <c r="Z64" s="3">
        <v>9.8983413590155167E-2</v>
      </c>
      <c r="AA64" s="3">
        <v>2.2778167545247299</v>
      </c>
      <c r="AB64" s="3">
        <v>0.36670152097996578</v>
      </c>
      <c r="AC64" s="3">
        <v>18.74264678289374</v>
      </c>
      <c r="AD64" s="3">
        <v>0.82932049224184057</v>
      </c>
      <c r="AE64" s="3">
        <v>3.5348437684028302</v>
      </c>
    </row>
    <row r="65" spans="1:49" ht="23.4" hidden="1" x14ac:dyDescent="0.45">
      <c r="A65" s="2" t="s">
        <v>165</v>
      </c>
      <c r="B65" s="2" t="s">
        <v>27</v>
      </c>
      <c r="C65" s="2">
        <v>15</v>
      </c>
      <c r="D65" s="2" t="s">
        <v>205</v>
      </c>
      <c r="E65" s="2"/>
      <c r="F65" s="2" t="s">
        <v>211</v>
      </c>
      <c r="G65" s="2" t="s">
        <v>205</v>
      </c>
      <c r="H65" s="2" t="s">
        <v>208</v>
      </c>
      <c r="I65" s="2" t="s">
        <v>139</v>
      </c>
      <c r="J65" s="3">
        <v>42.664742274476993</v>
      </c>
      <c r="K65" s="3">
        <v>11.199870559415688</v>
      </c>
      <c r="L65" s="3">
        <v>0.6878306878306879</v>
      </c>
      <c r="M65" s="3">
        <v>491.69837630303448</v>
      </c>
      <c r="N65" s="3">
        <v>1.3236172071942884</v>
      </c>
      <c r="O65" s="3">
        <v>17.142634304163732</v>
      </c>
      <c r="P65" s="3">
        <v>9.3127460337215631</v>
      </c>
      <c r="Q65" s="3">
        <v>681.84550477998425</v>
      </c>
      <c r="R65" s="3">
        <v>1.2037037037037039</v>
      </c>
      <c r="S65" s="3">
        <v>1.1640211640211642</v>
      </c>
      <c r="T65" s="3">
        <v>3.4126984126984135</v>
      </c>
      <c r="U65" s="3">
        <v>27.019108131392333</v>
      </c>
      <c r="V65" s="3">
        <v>16653.650513209606</v>
      </c>
      <c r="W65" s="3">
        <v>1996.1055831949895</v>
      </c>
      <c r="X65" s="3">
        <v>39.567462355017732</v>
      </c>
      <c r="Y65" s="3">
        <v>44242.898156565083</v>
      </c>
      <c r="Z65" s="3">
        <v>21.31915438904413</v>
      </c>
      <c r="AA65" s="3">
        <v>34.62071218127646</v>
      </c>
      <c r="AB65" s="3">
        <v>20.478678370467197</v>
      </c>
      <c r="AC65" s="3">
        <v>85.358091528983067</v>
      </c>
      <c r="AD65" s="3">
        <v>4.1005291005291014</v>
      </c>
      <c r="AE65" s="3">
        <v>29.77469635634683</v>
      </c>
    </row>
    <row r="66" spans="1:49" ht="23.4" hidden="1" x14ac:dyDescent="0.45">
      <c r="A66" s="2" t="s">
        <v>68</v>
      </c>
      <c r="B66" s="2" t="s">
        <v>27</v>
      </c>
      <c r="C66" s="2">
        <v>16</v>
      </c>
      <c r="D66" s="2" t="s">
        <v>205</v>
      </c>
      <c r="E66" s="2"/>
      <c r="F66" s="2" t="s">
        <v>211</v>
      </c>
      <c r="G66" s="2" t="s">
        <v>205</v>
      </c>
      <c r="H66" s="2" t="s">
        <v>207</v>
      </c>
      <c r="I66" s="2" t="s">
        <v>56</v>
      </c>
      <c r="J66" s="3">
        <v>34.939504601320841</v>
      </c>
      <c r="K66" s="3">
        <v>5.0133397369568327</v>
      </c>
      <c r="L66" s="3">
        <v>3.9571947450778544</v>
      </c>
      <c r="M66" s="3">
        <v>246.69094152279104</v>
      </c>
      <c r="N66" s="3">
        <v>0.58958202218621092</v>
      </c>
      <c r="O66" s="3">
        <v>2.2351886280948201</v>
      </c>
      <c r="P66" s="3">
        <v>108.44606841267532</v>
      </c>
      <c r="Q66" s="3">
        <v>155.97905905625089</v>
      </c>
      <c r="R66" s="3">
        <v>0.25872918445502241</v>
      </c>
      <c r="S66" s="3">
        <v>1.5935301166606053</v>
      </c>
      <c r="T66" s="3">
        <v>16.48826947579461</v>
      </c>
      <c r="U66" s="3">
        <v>85.766176461442853</v>
      </c>
      <c r="V66" s="3">
        <v>172.14940734291281</v>
      </c>
      <c r="W66" s="3">
        <v>13263.810867236549</v>
      </c>
      <c r="X66" s="3">
        <v>17.484016781162069</v>
      </c>
      <c r="Y66" s="3">
        <v>2485.6190206275674</v>
      </c>
      <c r="Z66" s="3">
        <v>10.444043413267799</v>
      </c>
      <c r="AA66" s="3">
        <v>3.0950520753752699</v>
      </c>
      <c r="AB66" s="3">
        <v>6.4937477990024171</v>
      </c>
      <c r="AC66" s="3">
        <v>70.971348204697023</v>
      </c>
      <c r="AD66" s="3">
        <v>4.9601150639750733</v>
      </c>
      <c r="AE66" s="3">
        <v>2.1142857142857143</v>
      </c>
    </row>
    <row r="67" spans="1:49" ht="23.4" hidden="1" x14ac:dyDescent="0.45">
      <c r="A67" s="2" t="s">
        <v>123</v>
      </c>
      <c r="B67" s="2" t="s">
        <v>86</v>
      </c>
      <c r="C67" s="2">
        <v>16</v>
      </c>
      <c r="D67" s="2" t="s">
        <v>205</v>
      </c>
      <c r="E67" s="2"/>
      <c r="F67" s="2" t="s">
        <v>211</v>
      </c>
      <c r="G67" s="2" t="s">
        <v>205</v>
      </c>
      <c r="H67" s="2" t="s">
        <v>207</v>
      </c>
      <c r="I67" s="2" t="s">
        <v>30</v>
      </c>
      <c r="J67" s="3">
        <v>313.93374671612054</v>
      </c>
      <c r="K67" s="3">
        <v>9.9020259230571099</v>
      </c>
      <c r="L67" s="3">
        <v>7.5144634695465973</v>
      </c>
      <c r="M67" s="3">
        <v>2.4794995925493124</v>
      </c>
      <c r="N67" s="3">
        <v>0.32622775245514013</v>
      </c>
      <c r="O67" s="3">
        <v>4.5155043344927934</v>
      </c>
      <c r="P67" s="3">
        <v>3.1679307545930122</v>
      </c>
      <c r="Q67" s="3">
        <v>3.0753548672739948</v>
      </c>
      <c r="R67" s="3">
        <v>2.5709508906717811</v>
      </c>
      <c r="S67" s="3">
        <v>7.1430879053686382</v>
      </c>
      <c r="T67" s="3">
        <v>22.389826351114728</v>
      </c>
      <c r="U67" s="3">
        <v>59.797536351939101</v>
      </c>
      <c r="V67" s="3">
        <v>724.87244524081575</v>
      </c>
      <c r="W67" s="3">
        <v>641.84774625427747</v>
      </c>
      <c r="X67" s="3">
        <v>1420.3211826638185</v>
      </c>
      <c r="Y67" s="3">
        <v>8261.6757885263869</v>
      </c>
      <c r="Z67" s="3">
        <v>20.703270699768723</v>
      </c>
      <c r="AA67" s="3">
        <v>60.794580318493168</v>
      </c>
      <c r="AB67" s="3">
        <v>66.436499999999995</v>
      </c>
      <c r="AC67" s="3">
        <v>79.027899999999988</v>
      </c>
      <c r="AD67" s="3">
        <v>449.57010000000002</v>
      </c>
      <c r="AE67" s="3">
        <v>275.78460000000001</v>
      </c>
      <c r="AF67">
        <v>7.8</v>
      </c>
      <c r="AG67">
        <v>4.6900000000000004</v>
      </c>
      <c r="AH67">
        <v>15.4</v>
      </c>
      <c r="AI67">
        <v>45.2</v>
      </c>
      <c r="AJ67">
        <v>96</v>
      </c>
      <c r="AK67">
        <v>32.700000000000003</v>
      </c>
      <c r="AL67">
        <v>34.299999999999997</v>
      </c>
      <c r="AM67">
        <v>0</v>
      </c>
      <c r="AN67">
        <v>60</v>
      </c>
      <c r="AO67">
        <v>2</v>
      </c>
      <c r="AP67">
        <v>1</v>
      </c>
      <c r="AQ67">
        <v>29</v>
      </c>
      <c r="AR67">
        <v>8</v>
      </c>
      <c r="AS67">
        <v>236</v>
      </c>
      <c r="AT67" s="7">
        <f t="shared" ref="AT67" si="65">AN67*AF67</f>
        <v>468</v>
      </c>
      <c r="AU67">
        <f t="shared" ref="AU67" si="66">AQ67*AF67</f>
        <v>226.2</v>
      </c>
      <c r="AV67" s="8">
        <f t="shared" ref="AV67" si="67">(AS67*AT67)/AU67</f>
        <v>488.27586206896552</v>
      </c>
      <c r="AW67" s="8">
        <f t="shared" ref="AW67" si="68">AT67/AU67</f>
        <v>2.0689655172413794</v>
      </c>
    </row>
    <row r="68" spans="1:49" ht="23.4" hidden="1" x14ac:dyDescent="0.45">
      <c r="A68" s="2" t="s">
        <v>166</v>
      </c>
      <c r="B68" s="2" t="s">
        <v>27</v>
      </c>
      <c r="C68" s="2">
        <v>16</v>
      </c>
      <c r="D68" s="2" t="s">
        <v>205</v>
      </c>
      <c r="E68" s="2"/>
      <c r="F68" s="2" t="s">
        <v>211</v>
      </c>
      <c r="G68" s="2" t="s">
        <v>205</v>
      </c>
      <c r="H68" s="2" t="s">
        <v>207</v>
      </c>
      <c r="I68" s="2" t="s">
        <v>28</v>
      </c>
      <c r="J68" s="3">
        <v>21.184780507227959</v>
      </c>
      <c r="K68" s="3">
        <v>1.5507528838524463</v>
      </c>
      <c r="L68" s="3">
        <v>0.23297491039426527</v>
      </c>
      <c r="M68" s="3">
        <v>237.62337316439161</v>
      </c>
      <c r="N68" s="3">
        <v>0.2570991319835717</v>
      </c>
      <c r="O68" s="3">
        <v>3.1504854499842478</v>
      </c>
      <c r="P68" s="3">
        <v>250.46446070917565</v>
      </c>
      <c r="Q68" s="3">
        <v>949.61748155368298</v>
      </c>
      <c r="R68" s="3">
        <v>0.4077060931899642</v>
      </c>
      <c r="S68" s="3">
        <v>0.39426523297491045</v>
      </c>
      <c r="T68" s="3">
        <v>5.5379262025781282</v>
      </c>
      <c r="U68" s="3">
        <v>58.605945790425814</v>
      </c>
      <c r="V68" s="3">
        <v>45.259301567161209</v>
      </c>
      <c r="W68" s="3">
        <v>1860.3377594793462</v>
      </c>
      <c r="X68" s="3">
        <v>10.201715877863263</v>
      </c>
      <c r="Y68" s="3">
        <v>111.32370301585755</v>
      </c>
      <c r="Z68" s="3">
        <v>0.16577060931899643</v>
      </c>
      <c r="AA68" s="3">
        <v>2.1183635499237634</v>
      </c>
      <c r="AB68" s="3">
        <v>1.3799283154121866</v>
      </c>
      <c r="AC68" s="3">
        <v>114.57773882011112</v>
      </c>
      <c r="AD68" s="3">
        <v>1.3888888888888891</v>
      </c>
      <c r="AE68" s="3">
        <v>1.4585741882187278</v>
      </c>
    </row>
    <row r="69" spans="1:49" ht="23.4" hidden="1" x14ac:dyDescent="0.45">
      <c r="A69" s="2" t="s">
        <v>167</v>
      </c>
      <c r="B69" s="2" t="s">
        <v>27</v>
      </c>
      <c r="C69" s="2">
        <v>16</v>
      </c>
      <c r="D69" s="2" t="s">
        <v>205</v>
      </c>
      <c r="E69" s="2"/>
      <c r="F69" s="2" t="s">
        <v>211</v>
      </c>
      <c r="G69" s="2" t="s">
        <v>205</v>
      </c>
      <c r="H69" s="2" t="s">
        <v>207</v>
      </c>
      <c r="I69" s="2" t="s">
        <v>139</v>
      </c>
      <c r="J69" s="3">
        <v>148.32301565163903</v>
      </c>
      <c r="K69" s="3">
        <v>5.9412350478257894</v>
      </c>
      <c r="L69" s="3">
        <v>9.796147175039021</v>
      </c>
      <c r="M69" s="3">
        <v>342.94753270554264</v>
      </c>
      <c r="N69" s="3">
        <v>1.6362636081606872</v>
      </c>
      <c r="O69" s="3">
        <v>5.7114604101631121</v>
      </c>
      <c r="P69" s="3">
        <v>245.51659762215007</v>
      </c>
      <c r="Q69" s="3">
        <v>1178.2135424968719</v>
      </c>
      <c r="R69" s="3">
        <v>0.35939968404423384</v>
      </c>
      <c r="S69" s="3">
        <v>2.7770886576746205</v>
      </c>
      <c r="T69" s="3">
        <v>31.32675292238444</v>
      </c>
      <c r="U69" s="3">
        <v>88.816581990929706</v>
      </c>
      <c r="V69" s="3">
        <v>33124.658458726146</v>
      </c>
      <c r="W69" s="3">
        <v>3248.4772170880806</v>
      </c>
      <c r="X69" s="3">
        <v>209.61154566989811</v>
      </c>
      <c r="Y69" s="3">
        <v>46693.645717477411</v>
      </c>
      <c r="Z69" s="3">
        <v>16.427411537266668</v>
      </c>
      <c r="AA69" s="3">
        <v>14.595123719874644</v>
      </c>
      <c r="AB69" s="3">
        <v>525.3967738227725</v>
      </c>
      <c r="AC69" s="3">
        <v>150.53678166369747</v>
      </c>
      <c r="AD69" s="3">
        <v>1.2243285939968405</v>
      </c>
      <c r="AE69" s="3">
        <v>3.8621914193811135</v>
      </c>
    </row>
    <row r="70" spans="1:49" ht="23.4" hidden="1" x14ac:dyDescent="0.45">
      <c r="A70" s="2" t="s">
        <v>185</v>
      </c>
      <c r="B70" s="2" t="s">
        <v>86</v>
      </c>
      <c r="C70" s="2">
        <v>16</v>
      </c>
      <c r="D70" s="2" t="s">
        <v>205</v>
      </c>
      <c r="E70" s="2"/>
      <c r="F70" s="2" t="s">
        <v>211</v>
      </c>
      <c r="G70" s="2" t="s">
        <v>205</v>
      </c>
      <c r="H70" s="2" t="s">
        <v>207</v>
      </c>
      <c r="I70" s="2" t="s">
        <v>137</v>
      </c>
      <c r="J70" s="3">
        <v>75.659932436317504</v>
      </c>
      <c r="K70" s="3">
        <v>12.4841747095274</v>
      </c>
      <c r="L70" s="3">
        <v>3.2684058960620899</v>
      </c>
      <c r="M70" s="3">
        <v>1.73561036612296</v>
      </c>
      <c r="N70" s="3">
        <v>0.50039691166831501</v>
      </c>
      <c r="O70" s="3">
        <v>2.8547723799153499</v>
      </c>
      <c r="P70" s="3">
        <v>1.33409300306161</v>
      </c>
      <c r="Q70" s="3">
        <v>0.52312525462785797</v>
      </c>
      <c r="R70" s="3">
        <v>17.531004890858298</v>
      </c>
      <c r="S70" s="3">
        <v>8.4295529478242006</v>
      </c>
      <c r="T70" s="3">
        <v>15.3013907907477</v>
      </c>
      <c r="U70" s="3">
        <v>33.663448931648198</v>
      </c>
      <c r="V70" s="3">
        <v>297.29124935084798</v>
      </c>
      <c r="W70" s="3">
        <v>279.141837646802</v>
      </c>
      <c r="X70" s="3">
        <v>439.38405446241001</v>
      </c>
      <c r="Y70" s="3">
        <v>2944.65051554401</v>
      </c>
      <c r="Z70" s="3">
        <v>15.350003240651599</v>
      </c>
      <c r="AA70" s="3">
        <v>20.918618594319899</v>
      </c>
      <c r="AB70" s="3">
        <v>46.294258270216098</v>
      </c>
      <c r="AC70" s="3">
        <v>98.342311147429299</v>
      </c>
      <c r="AD70" s="3">
        <v>305.00432746767501</v>
      </c>
      <c r="AE70" s="3">
        <v>102.33033254138201</v>
      </c>
      <c r="AF70">
        <v>10.199999999999999</v>
      </c>
      <c r="AG70">
        <v>4.49</v>
      </c>
      <c r="AH70">
        <v>14.7</v>
      </c>
      <c r="AI70">
        <v>43.5</v>
      </c>
      <c r="AJ70">
        <v>97</v>
      </c>
      <c r="AK70">
        <v>32.700000000000003</v>
      </c>
      <c r="AL70">
        <v>33.700000000000003</v>
      </c>
      <c r="AM70">
        <v>0</v>
      </c>
      <c r="AN70">
        <v>64</v>
      </c>
      <c r="AO70">
        <v>2</v>
      </c>
      <c r="AP70">
        <v>1</v>
      </c>
      <c r="AQ70">
        <v>24</v>
      </c>
      <c r="AR70">
        <v>9</v>
      </c>
      <c r="AS70">
        <v>303</v>
      </c>
      <c r="AT70" s="7">
        <f t="shared" ref="AT70" si="69">AN70*AF70</f>
        <v>652.79999999999995</v>
      </c>
      <c r="AU70">
        <f t="shared" ref="AU70" si="70">AQ70*AF70</f>
        <v>244.79999999999998</v>
      </c>
      <c r="AV70" s="8">
        <f t="shared" ref="AV70" si="71">(AS70*AT70)/AU70</f>
        <v>808</v>
      </c>
      <c r="AW70" s="8">
        <f t="shared" ref="AW70" si="72">AT70/AU70</f>
        <v>2.6666666666666665</v>
      </c>
    </row>
    <row r="71" spans="1:49" ht="23.4" hidden="1" x14ac:dyDescent="0.45">
      <c r="A71" s="2" t="s">
        <v>69</v>
      </c>
      <c r="B71" s="2" t="s">
        <v>27</v>
      </c>
      <c r="C71" s="2">
        <v>17</v>
      </c>
      <c r="D71" s="2" t="s">
        <v>204</v>
      </c>
      <c r="E71" s="2"/>
      <c r="F71" s="2" t="s">
        <v>211</v>
      </c>
      <c r="G71" s="2" t="s">
        <v>214</v>
      </c>
      <c r="H71" s="2" t="s">
        <v>207</v>
      </c>
      <c r="I71" s="2" t="s">
        <v>56</v>
      </c>
      <c r="J71" s="3">
        <v>34.979162052189494</v>
      </c>
      <c r="K71" s="3">
        <v>6.9864883535873732</v>
      </c>
      <c r="L71" s="3">
        <v>1.6402160870461453</v>
      </c>
      <c r="M71" s="3">
        <v>110.14646976861017</v>
      </c>
      <c r="N71" s="3">
        <v>0.28073220208711591</v>
      </c>
      <c r="O71" s="3">
        <v>4.6117955460001872</v>
      </c>
      <c r="P71" s="3">
        <v>6.0836232426621164</v>
      </c>
      <c r="Q71" s="3">
        <v>15.442039903519779</v>
      </c>
      <c r="R71" s="3">
        <v>0.1729</v>
      </c>
      <c r="S71" s="3">
        <v>0.28034709323413132</v>
      </c>
      <c r="T71" s="3">
        <v>38.724030143672707</v>
      </c>
      <c r="U71" s="3">
        <v>27.832338757050824</v>
      </c>
      <c r="V71" s="3">
        <v>529.3932364108025</v>
      </c>
      <c r="W71" s="3">
        <v>3785.1506673826766</v>
      </c>
      <c r="X71" s="3">
        <v>17.920595258871046</v>
      </c>
      <c r="Y71" s="3">
        <v>1152.7537590053792</v>
      </c>
      <c r="Z71" s="3">
        <v>10.211561273532064</v>
      </c>
      <c r="AA71" s="3">
        <v>9.2383352742546556</v>
      </c>
      <c r="AB71" s="3">
        <v>8.8006889802279176</v>
      </c>
      <c r="AC71" s="3">
        <v>2.6346586239274283</v>
      </c>
      <c r="AD71" s="3">
        <v>5.6102693783667368</v>
      </c>
      <c r="AE71" s="3">
        <v>6.057298772169168</v>
      </c>
    </row>
    <row r="72" spans="1:49" ht="23.4" hidden="1" x14ac:dyDescent="0.45">
      <c r="A72" s="2" t="s">
        <v>124</v>
      </c>
      <c r="B72" s="2" t="s">
        <v>86</v>
      </c>
      <c r="C72" s="2">
        <v>17</v>
      </c>
      <c r="D72" s="2" t="s">
        <v>204</v>
      </c>
      <c r="E72" s="2"/>
      <c r="F72" s="2" t="s">
        <v>211</v>
      </c>
      <c r="G72" s="2" t="s">
        <v>214</v>
      </c>
      <c r="H72" s="2" t="s">
        <v>207</v>
      </c>
      <c r="I72" s="2" t="s">
        <v>30</v>
      </c>
      <c r="J72" s="3">
        <v>231.91902944682553</v>
      </c>
      <c r="K72" s="3">
        <v>55.016111775696075</v>
      </c>
      <c r="L72" s="3">
        <v>6.7681358200639643</v>
      </c>
      <c r="M72" s="3">
        <v>1.6997784518794563</v>
      </c>
      <c r="N72" s="3">
        <v>0.70733982878647805</v>
      </c>
      <c r="O72" s="3">
        <v>4.5155043344927934</v>
      </c>
      <c r="P72" s="3">
        <v>1.4664037052271166</v>
      </c>
      <c r="Q72" s="3">
        <v>3.6981086834489587</v>
      </c>
      <c r="R72" s="3">
        <v>0.28329955050118966</v>
      </c>
      <c r="S72" s="3">
        <v>7.1430879053686382</v>
      </c>
      <c r="T72" s="3">
        <v>42.027466398280403</v>
      </c>
      <c r="U72" s="3">
        <v>12.6260233750256</v>
      </c>
      <c r="V72" s="3">
        <v>1122.3430779099579</v>
      </c>
      <c r="W72" s="3">
        <v>385.96533049246642</v>
      </c>
      <c r="X72" s="3">
        <v>1229.8666012776403</v>
      </c>
      <c r="Y72" s="3">
        <v>8704.24786611747</v>
      </c>
      <c r="Z72" s="3">
        <v>28.490507813379931</v>
      </c>
      <c r="AA72" s="3">
        <v>46.408159012367953</v>
      </c>
      <c r="AB72" s="3">
        <v>22.23</v>
      </c>
      <c r="AC72" s="3">
        <v>452.35069999999996</v>
      </c>
      <c r="AD72" s="3">
        <v>336.00839999999999</v>
      </c>
      <c r="AE72" s="3">
        <v>120.25649999999999</v>
      </c>
      <c r="AF72">
        <v>6.2</v>
      </c>
      <c r="AG72">
        <v>4.57</v>
      </c>
      <c r="AH72">
        <v>13</v>
      </c>
      <c r="AI72">
        <v>40</v>
      </c>
      <c r="AJ72">
        <v>88</v>
      </c>
      <c r="AK72">
        <v>28.4</v>
      </c>
      <c r="AL72">
        <v>32.5</v>
      </c>
      <c r="AM72">
        <v>0</v>
      </c>
      <c r="AN72">
        <v>48</v>
      </c>
      <c r="AO72">
        <v>5</v>
      </c>
      <c r="AP72">
        <v>2</v>
      </c>
      <c r="AQ72">
        <v>37</v>
      </c>
      <c r="AR72">
        <v>8</v>
      </c>
      <c r="AS72">
        <v>255</v>
      </c>
      <c r="AT72" s="7">
        <f t="shared" ref="AT72" si="73">AN72*AF72</f>
        <v>297.60000000000002</v>
      </c>
      <c r="AU72">
        <f t="shared" ref="AU72" si="74">AQ72*AF72</f>
        <v>229.4</v>
      </c>
      <c r="AV72" s="8">
        <f t="shared" ref="AV72" si="75">(AS72*AT72)/AU72</f>
        <v>330.81081081081078</v>
      </c>
      <c r="AW72" s="8">
        <f t="shared" ref="AW72" si="76">AT72/AU72</f>
        <v>1.2972972972972974</v>
      </c>
    </row>
    <row r="73" spans="1:49" ht="23.4" hidden="1" x14ac:dyDescent="0.45">
      <c r="A73" s="2" t="s">
        <v>168</v>
      </c>
      <c r="B73" s="2" t="s">
        <v>27</v>
      </c>
      <c r="C73" s="2">
        <v>17</v>
      </c>
      <c r="D73" s="2" t="s">
        <v>204</v>
      </c>
      <c r="E73" s="2"/>
      <c r="F73" s="2" t="s">
        <v>211</v>
      </c>
      <c r="G73" s="2" t="s">
        <v>214</v>
      </c>
      <c r="H73" s="2" t="s">
        <v>207</v>
      </c>
      <c r="I73" s="2" t="s">
        <v>28</v>
      </c>
      <c r="J73" s="3">
        <v>36.999791259169477</v>
      </c>
      <c r="K73" s="3">
        <v>18.673739327374086</v>
      </c>
      <c r="L73" s="3">
        <v>74.320609373444398</v>
      </c>
      <c r="M73" s="3">
        <v>4197.633834106784</v>
      </c>
      <c r="N73" s="3">
        <v>2.1400121000032613</v>
      </c>
      <c r="O73" s="3">
        <v>19.243743514372259</v>
      </c>
      <c r="P73" s="3">
        <v>99.635102783913879</v>
      </c>
      <c r="Q73" s="3">
        <v>450.27419158929422</v>
      </c>
      <c r="R73" s="3">
        <v>1.2397820163487738</v>
      </c>
      <c r="S73" s="3">
        <v>1.1989100817438691</v>
      </c>
      <c r="T73" s="3">
        <v>56.244085771601895</v>
      </c>
      <c r="U73" s="3">
        <v>53.538287624450952</v>
      </c>
      <c r="V73" s="3">
        <v>102.07998899262424</v>
      </c>
      <c r="W73" s="3">
        <v>2164.1688416598172</v>
      </c>
      <c r="X73" s="3">
        <v>95.515292730387458</v>
      </c>
      <c r="Y73" s="3">
        <v>337.60184052645775</v>
      </c>
      <c r="Z73" s="3">
        <v>7.6215780990181461</v>
      </c>
      <c r="AA73" s="3">
        <v>96.003134634098899</v>
      </c>
      <c r="AB73" s="3">
        <v>14.753595310802913</v>
      </c>
      <c r="AC73" s="3">
        <v>84.501906308050394</v>
      </c>
      <c r="AD73" s="3">
        <v>4.223433242506812</v>
      </c>
      <c r="AE73" s="3">
        <v>26.551459865652479</v>
      </c>
    </row>
    <row r="74" spans="1:49" ht="23.4" hidden="1" x14ac:dyDescent="0.45">
      <c r="A74" s="2" t="s">
        <v>169</v>
      </c>
      <c r="B74" s="2" t="s">
        <v>27</v>
      </c>
      <c r="C74" s="2">
        <v>17</v>
      </c>
      <c r="D74" s="2" t="s">
        <v>204</v>
      </c>
      <c r="E74" s="2"/>
      <c r="F74" s="2" t="s">
        <v>211</v>
      </c>
      <c r="G74" s="2" t="s">
        <v>214</v>
      </c>
      <c r="H74" s="2" t="s">
        <v>207</v>
      </c>
      <c r="I74" s="2" t="s">
        <v>139</v>
      </c>
      <c r="J74" s="3">
        <v>69.666362276323937</v>
      </c>
      <c r="K74" s="3">
        <v>6.4005839767208954</v>
      </c>
      <c r="L74" s="3">
        <v>0.81397163620032009</v>
      </c>
      <c r="M74" s="3">
        <v>362.08697855108727</v>
      </c>
      <c r="N74" s="3">
        <v>0.69267439635873818</v>
      </c>
      <c r="O74" s="3">
        <v>13.673811972982437</v>
      </c>
      <c r="P74" s="3">
        <v>125.27013762601618</v>
      </c>
      <c r="Q74" s="3">
        <v>1063.1355487778621</v>
      </c>
      <c r="R74" s="3">
        <v>0.49030172413793111</v>
      </c>
      <c r="S74" s="3">
        <v>1.1463463944335668</v>
      </c>
      <c r="T74" s="3">
        <v>31.648396038728453</v>
      </c>
      <c r="U74" s="3">
        <v>89.276352685721335</v>
      </c>
      <c r="V74" s="3">
        <v>36651.128300593751</v>
      </c>
      <c r="W74" s="3">
        <v>2074.8430648312715</v>
      </c>
      <c r="X74" s="3">
        <v>134.72618480035237</v>
      </c>
      <c r="Y74" s="3">
        <v>84342.784169306469</v>
      </c>
      <c r="Z74" s="3">
        <v>89.74888874484472</v>
      </c>
      <c r="AA74" s="3">
        <v>38.749487299408408</v>
      </c>
      <c r="AB74" s="3">
        <v>404.91029109098815</v>
      </c>
      <c r="AC74" s="3">
        <v>182.74336516325215</v>
      </c>
      <c r="AD74" s="3">
        <v>2.5224221956264872</v>
      </c>
      <c r="AE74" s="3">
        <v>20.992117721154312</v>
      </c>
    </row>
    <row r="75" spans="1:49" ht="23.4" hidden="1" x14ac:dyDescent="0.45">
      <c r="A75" s="2" t="s">
        <v>186</v>
      </c>
      <c r="B75" s="2" t="s">
        <v>86</v>
      </c>
      <c r="C75" s="2">
        <v>17</v>
      </c>
      <c r="D75" s="2" t="s">
        <v>204</v>
      </c>
      <c r="E75" s="2"/>
      <c r="F75" s="2" t="s">
        <v>211</v>
      </c>
      <c r="G75" s="2" t="s">
        <v>214</v>
      </c>
      <c r="H75" s="2" t="s">
        <v>207</v>
      </c>
      <c r="I75" s="2" t="s">
        <v>137</v>
      </c>
      <c r="J75" s="3">
        <v>49.1268222103364</v>
      </c>
      <c r="K75" s="3">
        <v>4.9412869224518499</v>
      </c>
      <c r="L75" s="3">
        <v>3.6835151756369999</v>
      </c>
      <c r="M75" s="3">
        <v>1.78918536641151</v>
      </c>
      <c r="N75" s="3">
        <v>0.92809291643505898</v>
      </c>
      <c r="O75" s="3">
        <v>2.9412595943341699</v>
      </c>
      <c r="P75" s="3">
        <v>0.44385537443081802</v>
      </c>
      <c r="Q75" s="3">
        <v>0.67395062099695102</v>
      </c>
      <c r="R75" s="3">
        <v>0.180259814473721</v>
      </c>
      <c r="S75" s="3">
        <v>15.713584689154001</v>
      </c>
      <c r="T75" s="3">
        <v>1.29</v>
      </c>
      <c r="U75" s="3">
        <v>34.655454459369501</v>
      </c>
      <c r="V75" s="3">
        <v>563.48147587117501</v>
      </c>
      <c r="W75" s="3">
        <v>165.92372111204301</v>
      </c>
      <c r="X75" s="3">
        <v>366.404577196096</v>
      </c>
      <c r="Y75" s="3">
        <v>2013.70568685025</v>
      </c>
      <c r="Z75" s="3">
        <v>16.2910070198539</v>
      </c>
      <c r="AA75" s="3">
        <v>26.296902978375801</v>
      </c>
      <c r="AB75" s="3">
        <v>25.309589905663799</v>
      </c>
      <c r="AC75" s="3">
        <v>293.89347069875402</v>
      </c>
      <c r="AD75" s="3">
        <v>347.37892359052501</v>
      </c>
      <c r="AE75" s="3">
        <v>143.60814791758099</v>
      </c>
      <c r="AF75">
        <v>6.8</v>
      </c>
      <c r="AG75">
        <v>4.67</v>
      </c>
      <c r="AH75">
        <v>13.1</v>
      </c>
      <c r="AI75">
        <v>41</v>
      </c>
      <c r="AJ75">
        <v>88</v>
      </c>
      <c r="AK75">
        <v>28.1</v>
      </c>
      <c r="AL75">
        <v>31.9</v>
      </c>
      <c r="AM75">
        <v>0</v>
      </c>
      <c r="AN75">
        <v>51</v>
      </c>
      <c r="AO75">
        <v>6</v>
      </c>
      <c r="AP75">
        <v>2</v>
      </c>
      <c r="AQ75">
        <v>33</v>
      </c>
      <c r="AR75">
        <v>8</v>
      </c>
      <c r="AS75">
        <v>219</v>
      </c>
      <c r="AT75" s="7">
        <f t="shared" ref="AT75" si="77">AN75*AF75</f>
        <v>346.8</v>
      </c>
      <c r="AU75">
        <f t="shared" ref="AU75" si="78">AQ75*AF75</f>
        <v>224.4</v>
      </c>
      <c r="AV75" s="8">
        <f t="shared" ref="AV75" si="79">(AS75*AT75)/AU75</f>
        <v>338.45454545454544</v>
      </c>
      <c r="AW75" s="8">
        <f t="shared" ref="AW75" si="80">AT75/AU75</f>
        <v>1.5454545454545454</v>
      </c>
    </row>
    <row r="76" spans="1:49" ht="23.4" hidden="1" x14ac:dyDescent="0.45">
      <c r="A76" s="2" t="s">
        <v>70</v>
      </c>
      <c r="B76" s="2" t="s">
        <v>27</v>
      </c>
      <c r="C76" s="2">
        <v>18</v>
      </c>
      <c r="D76" s="2" t="s">
        <v>205</v>
      </c>
      <c r="E76" s="2"/>
      <c r="F76" s="2" t="s">
        <v>210</v>
      </c>
      <c r="G76" s="2" t="s">
        <v>214</v>
      </c>
      <c r="H76" s="2" t="s">
        <v>207</v>
      </c>
      <c r="I76" s="2" t="s">
        <v>56</v>
      </c>
      <c r="J76" s="3">
        <v>38.809579068979829</v>
      </c>
      <c r="K76" s="3">
        <v>25.821624227052332</v>
      </c>
      <c r="L76" s="3">
        <v>7.8502911482505153</v>
      </c>
      <c r="M76" s="3">
        <v>188.59930653078888</v>
      </c>
      <c r="N76" s="3">
        <v>0.39270363383560297</v>
      </c>
      <c r="O76" s="3">
        <v>15.291991260737269</v>
      </c>
      <c r="P76" s="3">
        <v>509.65043655269352</v>
      </c>
      <c r="Q76" s="3">
        <v>293.12323170254189</v>
      </c>
      <c r="R76" s="3">
        <v>0.1729</v>
      </c>
      <c r="S76" s="3">
        <v>2.5319077420163403</v>
      </c>
      <c r="T76" s="3">
        <v>52.77989555424606</v>
      </c>
      <c r="U76" s="3">
        <v>19.314724403234649</v>
      </c>
      <c r="V76" s="3">
        <v>527.91671325708421</v>
      </c>
      <c r="W76" s="3">
        <v>4833.9215048269989</v>
      </c>
      <c r="X76" s="3">
        <v>75.546430886645737</v>
      </c>
      <c r="Y76" s="3">
        <v>2933.2256316726289</v>
      </c>
      <c r="Z76" s="3">
        <v>20.227394580232026</v>
      </c>
      <c r="AA76" s="3">
        <v>11.374118478774033</v>
      </c>
      <c r="AB76" s="3">
        <v>12.310887447532563</v>
      </c>
      <c r="AC76" s="3">
        <v>88.136325122865699</v>
      </c>
      <c r="AD76" s="3">
        <v>5.8462717464925964</v>
      </c>
      <c r="AE76" s="3">
        <v>8.4732824427480917</v>
      </c>
    </row>
    <row r="77" spans="1:49" ht="23.4" hidden="1" x14ac:dyDescent="0.45">
      <c r="A77" s="2" t="s">
        <v>125</v>
      </c>
      <c r="B77" s="2" t="s">
        <v>86</v>
      </c>
      <c r="C77" s="2">
        <v>18</v>
      </c>
      <c r="D77" s="2" t="s">
        <v>205</v>
      </c>
      <c r="E77" s="2"/>
      <c r="F77" s="2" t="s">
        <v>210</v>
      </c>
      <c r="G77" s="2" t="s">
        <v>214</v>
      </c>
      <c r="H77" s="2" t="s">
        <v>207</v>
      </c>
      <c r="I77" s="2" t="s">
        <v>30</v>
      </c>
      <c r="J77" s="3">
        <v>147.90685872442413</v>
      </c>
      <c r="K77" s="3">
        <v>5.8104990055714101</v>
      </c>
      <c r="L77" s="3">
        <v>5.2550930824987692</v>
      </c>
      <c r="M77" s="3">
        <v>2.6051360960855305</v>
      </c>
      <c r="N77" s="3">
        <v>0.20482515918583002</v>
      </c>
      <c r="O77" s="3">
        <v>3.6240102298833983</v>
      </c>
      <c r="P77" s="3">
        <v>17.068995088811402</v>
      </c>
      <c r="Q77" s="3">
        <v>3.6095477433621483</v>
      </c>
      <c r="R77" s="3">
        <v>5.3421818389873126</v>
      </c>
      <c r="S77" s="3">
        <v>5.358666923300321</v>
      </c>
      <c r="T77" s="3">
        <v>17.450189174782782</v>
      </c>
      <c r="U77" s="3">
        <v>60.063630781182589</v>
      </c>
      <c r="V77" s="3">
        <v>1538.6429486865036</v>
      </c>
      <c r="W77" s="3">
        <v>2436.4369929969321</v>
      </c>
      <c r="X77" s="3">
        <v>1101.3692514453091</v>
      </c>
      <c r="Y77" s="3">
        <v>10003.174027345485</v>
      </c>
      <c r="Z77" s="3">
        <v>9.5904917785457116</v>
      </c>
      <c r="AA77" s="3">
        <v>48.900360684107447</v>
      </c>
      <c r="AB77" s="3">
        <v>79.481999999999999</v>
      </c>
      <c r="AC77" s="3">
        <v>22.083500000000001</v>
      </c>
      <c r="AD77" s="3">
        <v>342.14879999999999</v>
      </c>
      <c r="AE77" s="3">
        <v>139.6395</v>
      </c>
      <c r="AF77">
        <v>9.4</v>
      </c>
      <c r="AG77">
        <v>5.24</v>
      </c>
      <c r="AH77">
        <v>14.7</v>
      </c>
      <c r="AI77">
        <v>44</v>
      </c>
      <c r="AJ77">
        <v>84</v>
      </c>
      <c r="AK77">
        <v>28</v>
      </c>
      <c r="AL77">
        <v>33.299999999999997</v>
      </c>
      <c r="AM77">
        <v>0</v>
      </c>
      <c r="AN77">
        <v>65</v>
      </c>
      <c r="AO77">
        <v>4</v>
      </c>
      <c r="AP77">
        <v>1</v>
      </c>
      <c r="AQ77">
        <v>21</v>
      </c>
      <c r="AR77">
        <v>9</v>
      </c>
      <c r="AS77">
        <v>154</v>
      </c>
      <c r="AT77" s="7">
        <f t="shared" ref="AT77" si="81">AN77*AF77</f>
        <v>611</v>
      </c>
      <c r="AU77">
        <f t="shared" ref="AU77" si="82">AQ77*AF77</f>
        <v>197.4</v>
      </c>
      <c r="AV77" s="8">
        <f t="shared" ref="AV77" si="83">(AS77*AT77)/AU77</f>
        <v>476.66666666666663</v>
      </c>
      <c r="AW77" s="8">
        <f t="shared" ref="AW77" si="84">AT77/AU77</f>
        <v>3.0952380952380953</v>
      </c>
    </row>
    <row r="78" spans="1:49" ht="23.4" hidden="1" x14ac:dyDescent="0.45">
      <c r="A78" s="2" t="s">
        <v>170</v>
      </c>
      <c r="B78" s="2" t="s">
        <v>27</v>
      </c>
      <c r="C78" s="2">
        <v>18</v>
      </c>
      <c r="D78" s="2" t="s">
        <v>205</v>
      </c>
      <c r="E78" s="2"/>
      <c r="F78" s="2" t="s">
        <v>210</v>
      </c>
      <c r="G78" s="2" t="s">
        <v>214</v>
      </c>
      <c r="H78" s="2" t="s">
        <v>207</v>
      </c>
      <c r="I78" s="2" t="s">
        <v>28</v>
      </c>
      <c r="J78" s="3">
        <v>50.521861585823189</v>
      </c>
      <c r="K78" s="3">
        <v>3.4980534491331414</v>
      </c>
      <c r="L78" s="3">
        <v>0.25768087215064417</v>
      </c>
      <c r="M78" s="3">
        <v>44.123275140605642</v>
      </c>
      <c r="N78" s="3">
        <v>0.35479879436642314</v>
      </c>
      <c r="O78" s="3">
        <v>3.4845805373463028</v>
      </c>
      <c r="P78" s="3">
        <v>521.65030963082063</v>
      </c>
      <c r="Q78" s="3">
        <v>553.09797989066396</v>
      </c>
      <c r="R78" s="3">
        <v>0.45094152626362732</v>
      </c>
      <c r="S78" s="3">
        <v>0.43607532210109012</v>
      </c>
      <c r="T78" s="3">
        <v>2.8015329747968183</v>
      </c>
      <c r="U78" s="3">
        <v>34.359849234077998</v>
      </c>
      <c r="V78" s="3">
        <v>131.93884539711496</v>
      </c>
      <c r="W78" s="3">
        <v>1822.0020821061246</v>
      </c>
      <c r="X78" s="3">
        <v>37.946402142307427</v>
      </c>
      <c r="Y78" s="3">
        <v>492.22237585240828</v>
      </c>
      <c r="Z78" s="3">
        <v>2.0126323417000593</v>
      </c>
      <c r="AA78" s="3">
        <v>5.1094413180751523</v>
      </c>
      <c r="AB78" s="3">
        <v>0.99108027750247762</v>
      </c>
      <c r="AC78" s="3">
        <v>524.9974701905619</v>
      </c>
      <c r="AD78" s="3">
        <v>1.5361744301288403</v>
      </c>
      <c r="AE78" s="3">
        <v>1.6811548388796431</v>
      </c>
    </row>
    <row r="79" spans="1:49" ht="23.4" hidden="1" x14ac:dyDescent="0.45">
      <c r="A79" s="2" t="s">
        <v>171</v>
      </c>
      <c r="B79" s="2" t="s">
        <v>27</v>
      </c>
      <c r="C79" s="2">
        <v>18</v>
      </c>
      <c r="D79" s="2" t="s">
        <v>205</v>
      </c>
      <c r="E79" s="2"/>
      <c r="F79" s="2" t="s">
        <v>210</v>
      </c>
      <c r="G79" s="2" t="s">
        <v>214</v>
      </c>
      <c r="H79" s="2" t="s">
        <v>207</v>
      </c>
      <c r="I79" s="2" t="s">
        <v>139</v>
      </c>
      <c r="J79" s="3">
        <v>69.215112324605997</v>
      </c>
      <c r="K79" s="3">
        <v>8.1798950860542128</v>
      </c>
      <c r="L79" s="3">
        <v>3.4797998541944941</v>
      </c>
      <c r="M79" s="3">
        <v>304.46354472876573</v>
      </c>
      <c r="N79" s="3">
        <v>1.5009014093274373</v>
      </c>
      <c r="O79" s="3">
        <v>7.0886471360850241</v>
      </c>
      <c r="P79" s="3">
        <v>286.60440589916516</v>
      </c>
      <c r="Q79" s="3">
        <v>1105.7035802012012</v>
      </c>
      <c r="R79" s="3">
        <v>26.755473702046441</v>
      </c>
      <c r="S79" s="3">
        <v>3.8150950478388985</v>
      </c>
      <c r="T79" s="3">
        <v>32.965036751295294</v>
      </c>
      <c r="U79" s="3">
        <v>18.779867974645644</v>
      </c>
      <c r="V79" s="3">
        <v>34888.856114515511</v>
      </c>
      <c r="W79" s="3">
        <v>2067.2490273551953</v>
      </c>
      <c r="X79" s="3">
        <v>71.21073954023332</v>
      </c>
      <c r="Y79" s="3">
        <v>73167.823996337931</v>
      </c>
      <c r="Z79" s="3">
        <v>65.216046278309307</v>
      </c>
      <c r="AA79" s="3">
        <v>49.416739874203195</v>
      </c>
      <c r="AB79" s="3">
        <v>1586.9904476845545</v>
      </c>
      <c r="AC79" s="3">
        <v>170.97747334662859</v>
      </c>
      <c r="AD79" s="3">
        <v>205.54593499776877</v>
      </c>
      <c r="AE79" s="3">
        <v>74.858574984244129</v>
      </c>
    </row>
    <row r="80" spans="1:49" ht="23.4" hidden="1" x14ac:dyDescent="0.45">
      <c r="A80" s="2" t="s">
        <v>176</v>
      </c>
      <c r="B80" s="2" t="s">
        <v>86</v>
      </c>
      <c r="C80" s="2">
        <v>18</v>
      </c>
      <c r="D80" s="2" t="s">
        <v>205</v>
      </c>
      <c r="E80" s="2"/>
      <c r="F80" s="2" t="s">
        <v>210</v>
      </c>
      <c r="G80" s="2" t="s">
        <v>214</v>
      </c>
      <c r="H80" s="2" t="s">
        <v>207</v>
      </c>
      <c r="I80" s="2" t="s">
        <v>137</v>
      </c>
      <c r="J80" s="3">
        <v>975.07542393394397</v>
      </c>
      <c r="K80" s="3">
        <v>4.5155897326748997</v>
      </c>
      <c r="L80" s="3">
        <v>0.75536567839389701</v>
      </c>
      <c r="M80" s="3">
        <v>2.6811462562252402</v>
      </c>
      <c r="N80" s="3">
        <v>0.14000000000000001</v>
      </c>
      <c r="O80" s="3">
        <v>1.0614185307423001</v>
      </c>
      <c r="P80" s="3">
        <v>16.519367820265</v>
      </c>
      <c r="Q80" s="3">
        <v>2.67736192571896</v>
      </c>
      <c r="R80" s="3">
        <v>2.94746952357356</v>
      </c>
      <c r="S80" s="3">
        <v>0.44</v>
      </c>
      <c r="T80" s="3">
        <v>1.29</v>
      </c>
      <c r="U80" s="3">
        <v>29.554939515350402</v>
      </c>
      <c r="V80" s="3">
        <v>750.92867715548596</v>
      </c>
      <c r="W80" s="3">
        <v>803.08871423232404</v>
      </c>
      <c r="X80" s="3">
        <v>1016.51376737342</v>
      </c>
      <c r="Y80" s="3">
        <v>3194.20846866077</v>
      </c>
      <c r="Z80" s="3">
        <v>44.221575854902099</v>
      </c>
      <c r="AA80" s="3">
        <v>11.585561237699901</v>
      </c>
      <c r="AB80" s="3">
        <v>38.5248247199955</v>
      </c>
      <c r="AC80" s="3">
        <v>51.787247996568901</v>
      </c>
      <c r="AD80" s="3">
        <v>268.61958480571798</v>
      </c>
      <c r="AE80" s="3">
        <v>198.95654221010599</v>
      </c>
      <c r="AF80">
        <v>7.2</v>
      </c>
      <c r="AG80">
        <v>5.14</v>
      </c>
      <c r="AH80">
        <v>14.5</v>
      </c>
      <c r="AI80">
        <v>44</v>
      </c>
      <c r="AJ80">
        <v>84</v>
      </c>
      <c r="AK80">
        <v>28.2</v>
      </c>
      <c r="AL80">
        <v>33.700000000000003</v>
      </c>
      <c r="AM80">
        <v>0</v>
      </c>
      <c r="AN80">
        <v>50</v>
      </c>
      <c r="AO80">
        <v>5</v>
      </c>
      <c r="AP80">
        <v>1</v>
      </c>
      <c r="AQ80">
        <v>33</v>
      </c>
      <c r="AR80">
        <v>11</v>
      </c>
      <c r="AS80">
        <v>218</v>
      </c>
      <c r="AT80" s="7">
        <f t="shared" ref="AT80" si="85">AN80*AF80</f>
        <v>360</v>
      </c>
      <c r="AU80">
        <f t="shared" ref="AU80" si="86">AQ80*AF80</f>
        <v>237.6</v>
      </c>
      <c r="AV80" s="8">
        <f t="shared" ref="AV80" si="87">(AS80*AT80)/AU80</f>
        <v>330.30303030303031</v>
      </c>
      <c r="AW80" s="8">
        <f t="shared" ref="AW80" si="88">AT80/AU80</f>
        <v>1.5151515151515151</v>
      </c>
    </row>
    <row r="81" spans="1:49" ht="23.4" hidden="1" x14ac:dyDescent="0.45">
      <c r="A81" s="2" t="s">
        <v>26</v>
      </c>
      <c r="B81" s="2" t="s">
        <v>27</v>
      </c>
      <c r="C81" s="2">
        <v>19</v>
      </c>
      <c r="D81" s="2" t="s">
        <v>204</v>
      </c>
      <c r="E81" s="2"/>
      <c r="F81" s="2" t="s">
        <v>210</v>
      </c>
      <c r="G81" s="2" t="s">
        <v>214</v>
      </c>
      <c r="H81" s="2" t="s">
        <v>207</v>
      </c>
      <c r="I81" s="2" t="s">
        <v>28</v>
      </c>
      <c r="J81" s="3">
        <v>36.312770825434953</v>
      </c>
      <c r="K81" s="3">
        <v>64.054528015072421</v>
      </c>
      <c r="L81" s="3">
        <v>22.927891066608137</v>
      </c>
      <c r="M81" s="3">
        <v>1638.4570385633081</v>
      </c>
      <c r="N81" s="3">
        <v>7.0181781240839802</v>
      </c>
      <c r="O81" s="3">
        <v>46.951634929264536</v>
      </c>
      <c r="P81" s="3">
        <v>9.8000000000000004E-2</v>
      </c>
      <c r="Q81" s="3">
        <v>18.965805341339749</v>
      </c>
      <c r="R81" s="3">
        <v>0.1729</v>
      </c>
      <c r="S81" s="3">
        <v>11.890799602701813</v>
      </c>
      <c r="T81" s="3">
        <v>233.96878416842779</v>
      </c>
      <c r="U81" s="3">
        <v>0.47435000000000005</v>
      </c>
      <c r="V81" s="3">
        <v>96.07758465394555</v>
      </c>
      <c r="W81" s="3">
        <v>4746.0451483285951</v>
      </c>
      <c r="X81" s="3">
        <v>2.4281648779951253</v>
      </c>
      <c r="Y81" s="3">
        <v>140.04910179167967</v>
      </c>
      <c r="Z81" s="3">
        <v>0.25900000000000001</v>
      </c>
      <c r="AA81" s="3">
        <v>31.638736919855731</v>
      </c>
      <c r="AB81" s="3">
        <v>101.65562177845285</v>
      </c>
      <c r="AC81" s="3">
        <v>9.6293165210710772</v>
      </c>
      <c r="AD81" s="3">
        <v>0.72258473214690155</v>
      </c>
      <c r="AE81" s="3">
        <v>176.41924491391015</v>
      </c>
    </row>
    <row r="82" spans="1:49" ht="23.4" hidden="1" x14ac:dyDescent="0.45">
      <c r="A82" s="2" t="s">
        <v>29</v>
      </c>
      <c r="B82" s="2" t="s">
        <v>27</v>
      </c>
      <c r="C82" s="2">
        <v>19</v>
      </c>
      <c r="D82" s="2" t="s">
        <v>204</v>
      </c>
      <c r="E82" s="2"/>
      <c r="F82" s="2" t="s">
        <v>210</v>
      </c>
      <c r="G82" s="2" t="s">
        <v>214</v>
      </c>
      <c r="H82" s="2" t="s">
        <v>207</v>
      </c>
      <c r="I82" s="2" t="s">
        <v>30</v>
      </c>
      <c r="J82" s="3">
        <v>27.362709790946237</v>
      </c>
      <c r="K82" s="3">
        <v>8.9381286110520808</v>
      </c>
      <c r="L82" s="3">
        <v>3.3967246024604649</v>
      </c>
      <c r="M82" s="3">
        <v>247.13575421198252</v>
      </c>
      <c r="N82" s="3">
        <v>0.71039903153386408</v>
      </c>
      <c r="O82" s="3">
        <v>8.0003026851894212</v>
      </c>
      <c r="P82" s="3">
        <v>2.8919405209985105</v>
      </c>
      <c r="Q82" s="3">
        <v>191.5822786134278</v>
      </c>
      <c r="R82" s="3">
        <v>0.1729</v>
      </c>
      <c r="S82" s="3">
        <v>1.7711218454471316</v>
      </c>
      <c r="T82" s="3">
        <v>40.415131019155332</v>
      </c>
      <c r="U82" s="3">
        <v>92.718917845996444</v>
      </c>
      <c r="V82" s="3">
        <v>683.11259125666766</v>
      </c>
      <c r="W82" s="3">
        <v>2063.3582146686067</v>
      </c>
      <c r="X82" s="3">
        <v>69.805705063250855</v>
      </c>
      <c r="Y82" s="3">
        <v>4732.2424872424135</v>
      </c>
      <c r="Z82" s="3">
        <v>21.991327661744307</v>
      </c>
      <c r="AA82" s="3">
        <v>8.5583880695623584</v>
      </c>
      <c r="AB82" s="3">
        <v>50.387172599873395</v>
      </c>
      <c r="AC82" s="3">
        <v>15.093366640783309</v>
      </c>
      <c r="AD82" s="3">
        <v>8.1948477912753042</v>
      </c>
      <c r="AE82" s="3">
        <v>8.2222222222222214</v>
      </c>
    </row>
    <row r="83" spans="1:49" ht="23.4" hidden="1" x14ac:dyDescent="0.45">
      <c r="A83" s="2" t="s">
        <v>71</v>
      </c>
      <c r="B83" s="2" t="s">
        <v>27</v>
      </c>
      <c r="C83" s="2">
        <v>19</v>
      </c>
      <c r="D83" s="2" t="s">
        <v>204</v>
      </c>
      <c r="E83" s="2"/>
      <c r="F83" s="2" t="s">
        <v>210</v>
      </c>
      <c r="G83" s="2" t="s">
        <v>214</v>
      </c>
      <c r="H83" s="2" t="s">
        <v>207</v>
      </c>
      <c r="I83" s="2" t="s">
        <v>56</v>
      </c>
      <c r="J83" s="3">
        <v>51.048370653400255</v>
      </c>
      <c r="K83" s="3">
        <v>38.537887916729034</v>
      </c>
      <c r="L83" s="3">
        <v>5.7801845759847312</v>
      </c>
      <c r="M83" s="3">
        <v>9682.5547119111743</v>
      </c>
      <c r="N83" s="3">
        <v>0.98931107754738434</v>
      </c>
      <c r="O83" s="3">
        <v>34.12530470512754</v>
      </c>
      <c r="P83" s="3">
        <v>0.11151843876762817</v>
      </c>
      <c r="Q83" s="3">
        <v>13.2553937434412</v>
      </c>
      <c r="R83" s="3">
        <v>0.1729</v>
      </c>
      <c r="S83" s="3">
        <v>4.5981047910646691</v>
      </c>
      <c r="T83" s="3">
        <v>119.19019259161017</v>
      </c>
      <c r="U83" s="3">
        <v>169.24997695632698</v>
      </c>
      <c r="V83" s="3">
        <v>1689.436653157052</v>
      </c>
      <c r="W83" s="3">
        <v>3559.0867932398078</v>
      </c>
      <c r="X83" s="3">
        <v>38.891838588650451</v>
      </c>
      <c r="Y83" s="3">
        <v>12778.843952617981</v>
      </c>
      <c r="Z83" s="3">
        <v>75.683219437506139</v>
      </c>
      <c r="AA83" s="3">
        <v>37.777568904629511</v>
      </c>
      <c r="AB83" s="3">
        <v>39.816067271973957</v>
      </c>
      <c r="AC83" s="3">
        <v>0.14437948690852043</v>
      </c>
      <c r="AD83" s="3">
        <v>23.780687524220927</v>
      </c>
      <c r="AE83" s="3">
        <v>21.346153846153843</v>
      </c>
    </row>
    <row r="84" spans="1:49" ht="23.4" hidden="1" x14ac:dyDescent="0.45">
      <c r="A84" s="2" t="s">
        <v>88</v>
      </c>
      <c r="B84" s="2" t="s">
        <v>86</v>
      </c>
      <c r="C84" s="2">
        <v>19</v>
      </c>
      <c r="D84" s="2" t="s">
        <v>204</v>
      </c>
      <c r="E84" s="2"/>
      <c r="F84" s="2" t="s">
        <v>210</v>
      </c>
      <c r="G84" s="2" t="s">
        <v>214</v>
      </c>
      <c r="H84" s="2" t="s">
        <v>207</v>
      </c>
      <c r="I84" s="2" t="s">
        <v>28</v>
      </c>
      <c r="J84" s="3">
        <v>196.8836766377276</v>
      </c>
      <c r="K84" s="3">
        <v>16.471068457184209</v>
      </c>
      <c r="L84" s="3">
        <v>11.828874057872035</v>
      </c>
      <c r="M84" s="3">
        <v>2.2243570541931361</v>
      </c>
      <c r="N84" s="3">
        <v>1.5249187879199164</v>
      </c>
      <c r="O84" s="3">
        <v>3.6297655610106827</v>
      </c>
      <c r="P84" s="3">
        <v>4.6437967581659345</v>
      </c>
      <c r="Q84" s="3">
        <v>3.2983379738216789</v>
      </c>
      <c r="R84" s="3">
        <v>5.8274219492336607</v>
      </c>
      <c r="S84" s="3">
        <v>10.57015028706938</v>
      </c>
      <c r="T84" s="3">
        <v>72.259706387724563</v>
      </c>
      <c r="U84" s="3">
        <v>62.811086221602523</v>
      </c>
      <c r="V84" s="3">
        <v>950.42237423020299</v>
      </c>
      <c r="W84" s="3">
        <v>526.90135882744289</v>
      </c>
      <c r="X84" s="3">
        <v>556.64757462556065</v>
      </c>
      <c r="Y84" s="3">
        <v>9341.874309816274</v>
      </c>
      <c r="Z84" s="3">
        <v>21.153799696485386</v>
      </c>
      <c r="AA84" s="3">
        <v>30.168675762752976</v>
      </c>
      <c r="AB84" s="3">
        <v>50.407499999999999</v>
      </c>
      <c r="AC84" s="3">
        <v>268.97210000000001</v>
      </c>
      <c r="AD84" s="3">
        <v>495.58739999999995</v>
      </c>
      <c r="AE84" s="3">
        <v>176.49450000000002</v>
      </c>
      <c r="AF84">
        <v>6.6</v>
      </c>
      <c r="AG84">
        <v>4.16</v>
      </c>
      <c r="AH84">
        <v>11.7</v>
      </c>
      <c r="AI84">
        <v>35.4</v>
      </c>
      <c r="AJ84">
        <v>84</v>
      </c>
      <c r="AK84">
        <v>28.1</v>
      </c>
      <c r="AL84">
        <v>33.6</v>
      </c>
      <c r="AM84">
        <v>0</v>
      </c>
      <c r="AN84">
        <v>62</v>
      </c>
      <c r="AO84">
        <v>2</v>
      </c>
      <c r="AP84">
        <v>1</v>
      </c>
      <c r="AQ84">
        <v>28</v>
      </c>
      <c r="AR84">
        <v>7</v>
      </c>
      <c r="AS84">
        <v>203</v>
      </c>
      <c r="AT84" s="7">
        <f t="shared" ref="AT84:AT85" si="89">AN84*AF84</f>
        <v>409.2</v>
      </c>
      <c r="AU84">
        <f t="shared" ref="AU84:AU85" si="90">AQ84*AF84</f>
        <v>184.79999999999998</v>
      </c>
      <c r="AV84" s="8">
        <f t="shared" ref="AV84:AV85" si="91">(AS84*AT84)/AU84</f>
        <v>449.5</v>
      </c>
      <c r="AW84" s="8">
        <f t="shared" ref="AW84:AW85" si="92">AT84/AU84</f>
        <v>2.2142857142857144</v>
      </c>
    </row>
    <row r="85" spans="1:49" ht="23.4" hidden="1" x14ac:dyDescent="0.45">
      <c r="A85" s="2" t="s">
        <v>89</v>
      </c>
      <c r="B85" s="2" t="s">
        <v>86</v>
      </c>
      <c r="C85" s="2">
        <v>19</v>
      </c>
      <c r="D85" s="2" t="s">
        <v>204</v>
      </c>
      <c r="E85" s="2"/>
      <c r="F85" s="2" t="s">
        <v>210</v>
      </c>
      <c r="G85" s="2" t="s">
        <v>214</v>
      </c>
      <c r="H85" s="2" t="s">
        <v>207</v>
      </c>
      <c r="I85" s="2" t="s">
        <v>30</v>
      </c>
      <c r="J85" s="3">
        <v>231.87597221870803</v>
      </c>
      <c r="K85" s="3">
        <v>22.994744340173536</v>
      </c>
      <c r="L85" s="3">
        <v>12.511339258463245</v>
      </c>
      <c r="M85" s="3">
        <v>1.8322523667409525</v>
      </c>
      <c r="N85" s="3">
        <v>2.5339559987108791</v>
      </c>
      <c r="O85" s="3">
        <v>6.6873895780400652</v>
      </c>
      <c r="P85" s="3">
        <v>3.7465830901437385</v>
      </c>
      <c r="Q85" s="3">
        <v>2.4905142509426064</v>
      </c>
      <c r="R85" s="3">
        <v>4.1052814051211088</v>
      </c>
      <c r="S85" s="3">
        <v>12.220245103630246</v>
      </c>
      <c r="T85" s="3">
        <v>102.38472567161685</v>
      </c>
      <c r="U85" s="3">
        <v>35.94185415920969</v>
      </c>
      <c r="V85" s="3">
        <v>955.30482588198083</v>
      </c>
      <c r="W85" s="3">
        <v>197.33937938715965</v>
      </c>
      <c r="X85" s="3">
        <v>587.04038476396488</v>
      </c>
      <c r="Y85" s="3">
        <v>8594.2411740928728</v>
      </c>
      <c r="Z85" s="3">
        <v>18.2630931154143</v>
      </c>
      <c r="AA85" s="3">
        <v>37.116746976192104</v>
      </c>
      <c r="AB85" s="3">
        <v>53.878499999999995</v>
      </c>
      <c r="AC85" s="3">
        <v>176.70570000000001</v>
      </c>
      <c r="AD85" s="3">
        <v>446.17860000000002</v>
      </c>
      <c r="AE85" s="3">
        <v>95.468099999999993</v>
      </c>
      <c r="AF85">
        <v>8.3000000000000007</v>
      </c>
      <c r="AG85">
        <v>4.49</v>
      </c>
      <c r="AH85">
        <v>12.1</v>
      </c>
      <c r="AI85">
        <v>37.299999999999997</v>
      </c>
      <c r="AJ85">
        <v>83</v>
      </c>
      <c r="AK85">
        <v>27</v>
      </c>
      <c r="AL85">
        <v>32.5</v>
      </c>
      <c r="AM85">
        <v>0</v>
      </c>
      <c r="AN85">
        <v>60</v>
      </c>
      <c r="AO85">
        <v>2</v>
      </c>
      <c r="AP85">
        <v>1</v>
      </c>
      <c r="AQ85">
        <v>29</v>
      </c>
      <c r="AR85">
        <v>8</v>
      </c>
      <c r="AS85">
        <v>217</v>
      </c>
      <c r="AT85" s="7">
        <f t="shared" si="89"/>
        <v>498.00000000000006</v>
      </c>
      <c r="AU85">
        <f t="shared" si="90"/>
        <v>240.70000000000002</v>
      </c>
      <c r="AV85" s="8">
        <f t="shared" si="91"/>
        <v>448.96551724137936</v>
      </c>
      <c r="AW85" s="8">
        <f t="shared" si="92"/>
        <v>2.0689655172413794</v>
      </c>
    </row>
    <row r="86" spans="1:49" ht="23.4" hidden="1" x14ac:dyDescent="0.45">
      <c r="A86" s="2" t="s">
        <v>31</v>
      </c>
      <c r="B86" s="2" t="s">
        <v>27</v>
      </c>
      <c r="C86" s="2">
        <v>20</v>
      </c>
      <c r="D86" s="2" t="s">
        <v>205</v>
      </c>
      <c r="E86" s="2" t="s">
        <v>211</v>
      </c>
      <c r="F86" s="2" t="s">
        <v>211</v>
      </c>
      <c r="G86" s="2" t="s">
        <v>205</v>
      </c>
      <c r="H86" s="2" t="s">
        <v>207</v>
      </c>
      <c r="I86" s="2" t="s">
        <v>28</v>
      </c>
      <c r="J86" s="3">
        <v>8.9109618581546304</v>
      </c>
      <c r="K86" s="3">
        <v>6.1705461662786929</v>
      </c>
      <c r="L86" s="3">
        <v>1.0620586560167473</v>
      </c>
      <c r="M86" s="3">
        <v>171.42891695939466</v>
      </c>
      <c r="N86" s="3">
        <v>0.15820000000000001</v>
      </c>
      <c r="O86" s="3">
        <v>3.8092181005280357</v>
      </c>
      <c r="P86" s="3">
        <v>61.434871938993993</v>
      </c>
      <c r="Q86" s="3">
        <v>38.561498653545073</v>
      </c>
      <c r="R86" s="3">
        <v>0.1729</v>
      </c>
      <c r="S86" s="3">
        <v>0.38267117195645856</v>
      </c>
      <c r="T86" s="3">
        <v>29.070455710623037</v>
      </c>
      <c r="U86" s="3">
        <v>16.264534256232963</v>
      </c>
      <c r="V86" s="3">
        <v>29.116940173425146</v>
      </c>
      <c r="W86" s="3">
        <v>1506.9861838944507</v>
      </c>
      <c r="X86" s="3">
        <v>1.0961663948827685</v>
      </c>
      <c r="Y86" s="3">
        <v>339.38441806879706</v>
      </c>
      <c r="Z86" s="3">
        <v>0.25900000000000001</v>
      </c>
      <c r="AA86" s="3">
        <v>5.1829660039824264</v>
      </c>
      <c r="AB86" s="3">
        <v>17.066627120163652</v>
      </c>
      <c r="AC86" s="3">
        <v>6.6288464579194741</v>
      </c>
      <c r="AD86" s="3">
        <v>12.324152899438809</v>
      </c>
      <c r="AE86" s="3">
        <v>57.213819665365165</v>
      </c>
    </row>
    <row r="87" spans="1:49" ht="23.4" hidden="1" x14ac:dyDescent="0.45">
      <c r="A87" s="2" t="s">
        <v>32</v>
      </c>
      <c r="B87" s="2" t="s">
        <v>27</v>
      </c>
      <c r="C87" s="2">
        <v>20</v>
      </c>
      <c r="D87" s="2" t="s">
        <v>205</v>
      </c>
      <c r="E87" s="2" t="s">
        <v>211</v>
      </c>
      <c r="F87" s="2" t="s">
        <v>211</v>
      </c>
      <c r="G87" s="2" t="s">
        <v>205</v>
      </c>
      <c r="H87" s="2" t="s">
        <v>207</v>
      </c>
      <c r="I87" s="2" t="s">
        <v>30</v>
      </c>
      <c r="J87" s="3">
        <v>56.275188124929542</v>
      </c>
      <c r="K87" s="3">
        <v>3.1074611427060344</v>
      </c>
      <c r="L87" s="3">
        <v>3.787729120331377</v>
      </c>
      <c r="M87" s="3">
        <v>261.14051674879403</v>
      </c>
      <c r="N87" s="3">
        <v>1.0498666760854958</v>
      </c>
      <c r="O87" s="3">
        <v>1.9365602163613755</v>
      </c>
      <c r="P87" s="3">
        <v>45.178054239630058</v>
      </c>
      <c r="Q87" s="3">
        <v>97.061018850332516</v>
      </c>
      <c r="R87" s="3">
        <v>0.73630989183270135</v>
      </c>
      <c r="S87" s="3">
        <v>2.1400824804812877</v>
      </c>
      <c r="T87" s="3">
        <v>20.193804216321457</v>
      </c>
      <c r="U87" s="3">
        <v>53.054682962095669</v>
      </c>
      <c r="V87" s="3">
        <v>2431.2551985514456</v>
      </c>
      <c r="W87" s="3">
        <v>2238.1419338682067</v>
      </c>
      <c r="X87" s="3">
        <v>19.22762183599847</v>
      </c>
      <c r="Y87" s="3">
        <v>17906.517677606884</v>
      </c>
      <c r="Z87" s="3">
        <v>19.054094917672415</v>
      </c>
      <c r="AA87" s="3">
        <v>3.779495797923933</v>
      </c>
      <c r="AB87" s="3">
        <v>27.175489417193088</v>
      </c>
      <c r="AC87" s="3">
        <v>31.480796404861721</v>
      </c>
      <c r="AD87" s="3">
        <v>22.336197112591698</v>
      </c>
      <c r="AE87" s="3">
        <v>2.6941747572815533</v>
      </c>
    </row>
    <row r="88" spans="1:49" ht="23.4" hidden="1" x14ac:dyDescent="0.45">
      <c r="A88" s="2" t="s">
        <v>72</v>
      </c>
      <c r="B88" s="2" t="s">
        <v>27</v>
      </c>
      <c r="C88" s="2">
        <v>20</v>
      </c>
      <c r="D88" s="2" t="s">
        <v>205</v>
      </c>
      <c r="E88" s="2" t="s">
        <v>211</v>
      </c>
      <c r="F88" s="2" t="s">
        <v>211</v>
      </c>
      <c r="G88" s="2" t="s">
        <v>205</v>
      </c>
      <c r="H88" s="2" t="s">
        <v>207</v>
      </c>
      <c r="I88" s="2" t="s">
        <v>56</v>
      </c>
      <c r="J88" s="3">
        <v>27.729813777202157</v>
      </c>
      <c r="K88" s="3">
        <v>30.083022161759068</v>
      </c>
      <c r="L88" s="3">
        <v>0.29899999999999999</v>
      </c>
      <c r="M88" s="3">
        <v>1166.4404604053532</v>
      </c>
      <c r="N88" s="3">
        <v>0.15820000000000001</v>
      </c>
      <c r="O88" s="3">
        <v>12.235984477913775</v>
      </c>
      <c r="P88" s="3">
        <v>9.8000000000000004E-2</v>
      </c>
      <c r="Q88" s="3">
        <v>6.0152678281538323</v>
      </c>
      <c r="R88" s="3">
        <v>0.1729</v>
      </c>
      <c r="S88" s="3">
        <v>0.24640000000000004</v>
      </c>
      <c r="T88" s="3">
        <v>48.143695094895747</v>
      </c>
      <c r="U88" s="3">
        <v>0.47435000000000005</v>
      </c>
      <c r="V88" s="3">
        <v>129.65970996959257</v>
      </c>
      <c r="W88" s="3">
        <v>2458.8945579335204</v>
      </c>
      <c r="X88" s="3">
        <v>8.4010349117180478</v>
      </c>
      <c r="Y88" s="3">
        <v>1421.5964029958027</v>
      </c>
      <c r="Z88" s="3">
        <v>0.25900000000000001</v>
      </c>
      <c r="AA88" s="3">
        <v>9.4086194571181423</v>
      </c>
      <c r="AB88" s="3">
        <v>23.14384025646908</v>
      </c>
      <c r="AC88" s="3">
        <v>4.6500796350974882</v>
      </c>
      <c r="AD88" s="3">
        <v>5.8865594383914015</v>
      </c>
      <c r="AE88" s="3">
        <v>143.7169933481367</v>
      </c>
    </row>
    <row r="89" spans="1:49" ht="23.4" hidden="1" x14ac:dyDescent="0.45">
      <c r="A89" s="2" t="s">
        <v>90</v>
      </c>
      <c r="B89" s="2" t="s">
        <v>86</v>
      </c>
      <c r="C89" s="2">
        <v>20</v>
      </c>
      <c r="D89" s="2" t="s">
        <v>205</v>
      </c>
      <c r="E89" s="2" t="s">
        <v>211</v>
      </c>
      <c r="F89" s="2" t="s">
        <v>211</v>
      </c>
      <c r="G89" s="2" t="s">
        <v>205</v>
      </c>
      <c r="H89" s="2" t="s">
        <v>207</v>
      </c>
      <c r="I89" s="2" t="s">
        <v>28</v>
      </c>
      <c r="J89" s="3">
        <v>135.56649406591458</v>
      </c>
      <c r="K89" s="3">
        <v>15.973556362935696</v>
      </c>
      <c r="L89" s="3">
        <v>13.903815082182026</v>
      </c>
      <c r="M89" s="3">
        <v>3.0393186327065416</v>
      </c>
      <c r="N89" s="3">
        <v>0.90767997733188566</v>
      </c>
      <c r="O89" s="3">
        <v>0.88029612470645546</v>
      </c>
      <c r="P89" s="3">
        <v>1.9590369818810562</v>
      </c>
      <c r="Q89" s="3">
        <v>1.2971528383021849</v>
      </c>
      <c r="R89" s="3">
        <v>7.7289602942949207</v>
      </c>
      <c r="S89" s="3">
        <v>1.5049649207784304</v>
      </c>
      <c r="T89" s="3">
        <v>5.8946558365465549</v>
      </c>
      <c r="U89" s="3">
        <v>31.544291720912423</v>
      </c>
      <c r="V89" s="3">
        <v>693.84093253515778</v>
      </c>
      <c r="W89" s="3">
        <v>369.53205920579927</v>
      </c>
      <c r="X89" s="3">
        <v>730.83978986060163</v>
      </c>
      <c r="Y89" s="3">
        <v>2621.5733025106883</v>
      </c>
      <c r="Z89" s="3">
        <v>8.5333270405197226</v>
      </c>
      <c r="AA89" s="3">
        <v>49.036854775082823</v>
      </c>
      <c r="AB89" s="3">
        <v>147.67350000000002</v>
      </c>
      <c r="AC89" s="3">
        <v>40.159199999999991</v>
      </c>
      <c r="AD89" s="3">
        <v>709.25189999999998</v>
      </c>
      <c r="AE89" s="3">
        <v>185.2578</v>
      </c>
      <c r="AF89">
        <v>6.8</v>
      </c>
      <c r="AG89">
        <v>5.45</v>
      </c>
      <c r="AH89">
        <v>15.3</v>
      </c>
      <c r="AI89">
        <v>45.5</v>
      </c>
      <c r="AJ89">
        <v>84</v>
      </c>
      <c r="AK89">
        <v>28</v>
      </c>
      <c r="AL89">
        <v>33.5</v>
      </c>
      <c r="AM89">
        <v>0</v>
      </c>
      <c r="AN89">
        <v>72</v>
      </c>
      <c r="AO89">
        <v>1</v>
      </c>
      <c r="AP89">
        <v>0</v>
      </c>
      <c r="AQ89">
        <v>21</v>
      </c>
      <c r="AR89">
        <v>6</v>
      </c>
      <c r="AS89">
        <v>186</v>
      </c>
      <c r="AT89" s="7">
        <f t="shared" ref="AT89:AT90" si="93">AN89*AF89</f>
        <v>489.59999999999997</v>
      </c>
      <c r="AU89">
        <f t="shared" ref="AU89:AU90" si="94">AQ89*AF89</f>
        <v>142.79999999999998</v>
      </c>
      <c r="AV89" s="8">
        <f t="shared" ref="AV89:AV90" si="95">(AS89*AT89)/AU89</f>
        <v>637.71428571428578</v>
      </c>
      <c r="AW89" s="8">
        <f t="shared" ref="AW89:AW90" si="96">AT89/AU89</f>
        <v>3.4285714285714288</v>
      </c>
    </row>
    <row r="90" spans="1:49" ht="23.4" hidden="1" x14ac:dyDescent="0.45">
      <c r="A90" s="2" t="s">
        <v>91</v>
      </c>
      <c r="B90" s="2" t="s">
        <v>86</v>
      </c>
      <c r="C90" s="2">
        <v>20</v>
      </c>
      <c r="D90" s="2" t="s">
        <v>205</v>
      </c>
      <c r="E90" s="2" t="s">
        <v>211</v>
      </c>
      <c r="F90" s="2" t="s">
        <v>211</v>
      </c>
      <c r="G90" s="2" t="s">
        <v>205</v>
      </c>
      <c r="H90" s="2" t="s">
        <v>207</v>
      </c>
      <c r="I90" s="2" t="s">
        <v>30</v>
      </c>
      <c r="J90" s="3">
        <v>166.88254911765878</v>
      </c>
      <c r="K90" s="3">
        <v>11.838029139224947</v>
      </c>
      <c r="L90" s="3">
        <v>22.655323948762597</v>
      </c>
      <c r="M90" s="3">
        <v>4.7587890132994328</v>
      </c>
      <c r="N90" s="3">
        <v>1.2463127882426261</v>
      </c>
      <c r="O90" s="3">
        <v>2.2759255006063568</v>
      </c>
      <c r="P90" s="3">
        <v>3.1679307545930122</v>
      </c>
      <c r="Q90" s="3">
        <v>2.445740491494119</v>
      </c>
      <c r="R90" s="3">
        <v>22.612144651442375</v>
      </c>
      <c r="S90" s="3">
        <v>4.4289986657651177</v>
      </c>
      <c r="T90" s="3">
        <v>14.90131771749809</v>
      </c>
      <c r="U90" s="3">
        <v>42.995787410582963</v>
      </c>
      <c r="V90" s="3">
        <v>836.96278668754883</v>
      </c>
      <c r="W90" s="3">
        <v>626.92132361974689</v>
      </c>
      <c r="X90" s="3">
        <v>672.90798353759749</v>
      </c>
      <c r="Y90" s="3">
        <v>4298.7831902294602</v>
      </c>
      <c r="Z90" s="3">
        <v>11.336137882209208</v>
      </c>
      <c r="AA90" s="3">
        <v>61.762061233599297</v>
      </c>
      <c r="AB90" s="3">
        <v>117.39975</v>
      </c>
      <c r="AC90" s="3">
        <v>22.022599999999997</v>
      </c>
      <c r="AD90" s="3">
        <v>685.56495000000007</v>
      </c>
      <c r="AE90" s="3">
        <v>256.68825000000004</v>
      </c>
      <c r="AF90">
        <v>6</v>
      </c>
      <c r="AG90">
        <v>4.7</v>
      </c>
      <c r="AH90">
        <v>13</v>
      </c>
      <c r="AI90">
        <v>40</v>
      </c>
      <c r="AJ90">
        <v>85</v>
      </c>
      <c r="AK90">
        <v>27.3</v>
      </c>
      <c r="AL90">
        <v>32</v>
      </c>
      <c r="AM90">
        <v>0</v>
      </c>
      <c r="AN90">
        <v>65</v>
      </c>
      <c r="AO90">
        <v>3</v>
      </c>
      <c r="AP90">
        <v>1</v>
      </c>
      <c r="AQ90">
        <v>24</v>
      </c>
      <c r="AR90">
        <v>7</v>
      </c>
      <c r="AS90">
        <v>153</v>
      </c>
      <c r="AT90" s="7">
        <f t="shared" si="93"/>
        <v>390</v>
      </c>
      <c r="AU90">
        <f t="shared" si="94"/>
        <v>144</v>
      </c>
      <c r="AV90" s="8">
        <f t="shared" si="95"/>
        <v>414.375</v>
      </c>
      <c r="AW90" s="8">
        <f t="shared" si="96"/>
        <v>2.7083333333333335</v>
      </c>
    </row>
    <row r="91" spans="1:49" ht="23.4" hidden="1" x14ac:dyDescent="0.45">
      <c r="A91" s="2" t="s">
        <v>33</v>
      </c>
      <c r="B91" s="2" t="s">
        <v>27</v>
      </c>
      <c r="C91" s="2">
        <v>21</v>
      </c>
      <c r="D91" s="2" t="s">
        <v>204</v>
      </c>
      <c r="E91" s="2"/>
      <c r="F91" s="2" t="s">
        <v>211</v>
      </c>
      <c r="G91" s="2" t="s">
        <v>205</v>
      </c>
      <c r="H91" s="2" t="s">
        <v>208</v>
      </c>
      <c r="I91" s="2" t="s">
        <v>28</v>
      </c>
      <c r="J91" s="3">
        <v>55.929652942144827</v>
      </c>
      <c r="K91" s="3">
        <v>9.7921291713432907</v>
      </c>
      <c r="L91" s="3">
        <v>1.704675915732947</v>
      </c>
      <c r="M91" s="3">
        <v>200.94665528186204</v>
      </c>
      <c r="N91" s="3">
        <v>0.35651996006346337</v>
      </c>
      <c r="O91" s="3">
        <v>2.6130711613690405</v>
      </c>
      <c r="P91" s="3">
        <v>7.0620580763775527</v>
      </c>
      <c r="Q91" s="3">
        <v>7.1171948381433747</v>
      </c>
      <c r="R91" s="3">
        <v>0.1729</v>
      </c>
      <c r="S91" s="3">
        <v>0.88407431990348084</v>
      </c>
      <c r="T91" s="3">
        <v>20.282686570951569</v>
      </c>
      <c r="U91" s="3">
        <v>69.155930834637871</v>
      </c>
      <c r="V91" s="3">
        <v>33.066666805087173</v>
      </c>
      <c r="W91" s="3">
        <v>8090.7723249549954</v>
      </c>
      <c r="X91" s="3">
        <v>10.402116803219551</v>
      </c>
      <c r="Y91" s="3">
        <v>178.13679512430934</v>
      </c>
      <c r="Z91" s="3">
        <v>0.25900000000000001</v>
      </c>
      <c r="AA91" s="3">
        <v>2.3472682062315817</v>
      </c>
      <c r="AB91" s="3">
        <v>6.9422890318218426</v>
      </c>
      <c r="AC91" s="3">
        <v>0.71593431383428097</v>
      </c>
      <c r="AD91" s="3">
        <v>4.6945561613300715</v>
      </c>
      <c r="AE91" s="3">
        <v>4.1263940520446099</v>
      </c>
    </row>
    <row r="92" spans="1:49" ht="23.4" hidden="1" x14ac:dyDescent="0.45">
      <c r="A92" s="2" t="s">
        <v>34</v>
      </c>
      <c r="B92" s="2" t="s">
        <v>27</v>
      </c>
      <c r="C92" s="2">
        <v>21</v>
      </c>
      <c r="D92" s="2" t="s">
        <v>204</v>
      </c>
      <c r="E92" s="2"/>
      <c r="F92" s="2" t="s">
        <v>211</v>
      </c>
      <c r="G92" s="2" t="s">
        <v>205</v>
      </c>
      <c r="H92" s="2" t="s">
        <v>208</v>
      </c>
      <c r="I92" s="2" t="s">
        <v>30</v>
      </c>
      <c r="J92" s="3">
        <v>229.84309430656941</v>
      </c>
      <c r="K92" s="3">
        <v>32.340584169763787</v>
      </c>
      <c r="L92" s="3">
        <v>14.801024791086329</v>
      </c>
      <c r="M92" s="3">
        <v>355.00805204922364</v>
      </c>
      <c r="N92" s="3">
        <v>5.3927992952539547</v>
      </c>
      <c r="O92" s="3">
        <v>18.651912774866808</v>
      </c>
      <c r="P92" s="3">
        <v>244.57487017570401</v>
      </c>
      <c r="Q92" s="3">
        <v>731.16875479310534</v>
      </c>
      <c r="R92" s="3">
        <v>58.769243463498405</v>
      </c>
      <c r="S92" s="3">
        <v>9.0157840679574317</v>
      </c>
      <c r="T92" s="3">
        <v>82.918881422409214</v>
      </c>
      <c r="U92" s="3">
        <v>27.161455470533721</v>
      </c>
      <c r="V92" s="3">
        <v>14189.710467670569</v>
      </c>
      <c r="W92" s="3">
        <v>3200.230041171134</v>
      </c>
      <c r="X92" s="3">
        <v>342.41649886562902</v>
      </c>
      <c r="Y92" s="3">
        <v>119715.05609590682</v>
      </c>
      <c r="Z92" s="3">
        <v>76.287799234980611</v>
      </c>
      <c r="AA92" s="3">
        <v>95.022561550013307</v>
      </c>
      <c r="AB92" s="3">
        <v>325.19582649546373</v>
      </c>
      <c r="AC92" s="3">
        <v>133.17588242784544</v>
      </c>
      <c r="AD92" s="3">
        <v>296.64276876175438</v>
      </c>
      <c r="AE92" s="3">
        <v>147.91108859286558</v>
      </c>
    </row>
    <row r="93" spans="1:49" ht="23.4" hidden="1" x14ac:dyDescent="0.45">
      <c r="A93" s="2" t="s">
        <v>73</v>
      </c>
      <c r="B93" s="2" t="s">
        <v>27</v>
      </c>
      <c r="C93" s="2">
        <v>21</v>
      </c>
      <c r="D93" s="2" t="s">
        <v>204</v>
      </c>
      <c r="E93" s="2"/>
      <c r="F93" s="2" t="s">
        <v>211</v>
      </c>
      <c r="G93" s="2" t="s">
        <v>205</v>
      </c>
      <c r="H93" s="2" t="s">
        <v>208</v>
      </c>
      <c r="I93" s="2" t="s">
        <v>56</v>
      </c>
      <c r="J93" s="3">
        <v>42.491834840355175</v>
      </c>
      <c r="K93" s="3">
        <v>3.857489279734176</v>
      </c>
      <c r="L93" s="3">
        <v>1.3996256016354187</v>
      </c>
      <c r="M93" s="3">
        <v>297.43484071434648</v>
      </c>
      <c r="N93" s="3">
        <v>0.15820000000000001</v>
      </c>
      <c r="O93" s="3">
        <v>2.381315622798085</v>
      </c>
      <c r="P93" s="3">
        <v>3.8904302083855122</v>
      </c>
      <c r="Q93" s="3">
        <v>9.1815112173943998</v>
      </c>
      <c r="R93" s="3">
        <v>0.1729</v>
      </c>
      <c r="S93" s="3">
        <v>0.23922516803331578</v>
      </c>
      <c r="T93" s="3">
        <v>25.406485157559818</v>
      </c>
      <c r="U93" s="3">
        <v>46.033526580505864</v>
      </c>
      <c r="V93" s="3">
        <v>135.39908163371561</v>
      </c>
      <c r="W93" s="3">
        <v>2845.5212373162703</v>
      </c>
      <c r="X93" s="3">
        <v>6.4543226022094906</v>
      </c>
      <c r="Y93" s="3">
        <v>301.400044447894</v>
      </c>
      <c r="Z93" s="3">
        <v>0.25900000000000001</v>
      </c>
      <c r="AA93" s="3">
        <v>2.6403590636458447</v>
      </c>
      <c r="AB93" s="3">
        <v>6.6806943841619661</v>
      </c>
      <c r="AC93" s="3">
        <v>3.4960341416731371E-2</v>
      </c>
      <c r="AD93" s="3">
        <v>1.0881612972893036</v>
      </c>
      <c r="AE93" s="3">
        <v>5.1688009313154826</v>
      </c>
    </row>
    <row r="94" spans="1:49" ht="23.4" hidden="1" x14ac:dyDescent="0.45">
      <c r="A94" s="2" t="s">
        <v>92</v>
      </c>
      <c r="B94" s="2" t="s">
        <v>86</v>
      </c>
      <c r="C94" s="2">
        <v>21</v>
      </c>
      <c r="D94" s="2" t="s">
        <v>204</v>
      </c>
      <c r="E94" s="2"/>
      <c r="F94" s="2" t="s">
        <v>211</v>
      </c>
      <c r="G94" s="2" t="s">
        <v>205</v>
      </c>
      <c r="H94" s="2" t="s">
        <v>208</v>
      </c>
      <c r="I94" s="2" t="s">
        <v>28</v>
      </c>
      <c r="J94" s="3">
        <v>272.67787716910129</v>
      </c>
      <c r="K94" s="3">
        <v>13.246635308546601</v>
      </c>
      <c r="L94" s="3">
        <v>52.306857709502218</v>
      </c>
      <c r="M94" s="3">
        <v>6.1146435935282684</v>
      </c>
      <c r="N94" s="3">
        <v>1.6355148236161607</v>
      </c>
      <c r="O94" s="3">
        <v>14.289441764764167</v>
      </c>
      <c r="P94" s="3">
        <v>3.1679307545930122</v>
      </c>
      <c r="Q94" s="3">
        <v>5.5156048817176888</v>
      </c>
      <c r="R94" s="3">
        <v>59.481813435231565</v>
      </c>
      <c r="S94" s="3">
        <v>20.225300117611027</v>
      </c>
      <c r="T94" s="3">
        <v>112.33780491931371</v>
      </c>
      <c r="U94" s="3">
        <v>218.55220721493285</v>
      </c>
      <c r="V94" s="3">
        <v>383.52635969504428</v>
      </c>
      <c r="W94" s="3">
        <v>485.14883058252599</v>
      </c>
      <c r="X94" s="3">
        <v>638.29922621021205</v>
      </c>
      <c r="Y94" s="3">
        <v>5902.5990077396345</v>
      </c>
      <c r="Z94" s="3">
        <v>21.153799696485386</v>
      </c>
      <c r="AA94" s="3">
        <v>48.485040371527901</v>
      </c>
      <c r="AB94" s="3">
        <v>131.31300000000002</v>
      </c>
      <c r="AC94" s="3">
        <v>18.902200000000001</v>
      </c>
      <c r="AD94" s="3">
        <v>466.38479999999993</v>
      </c>
      <c r="AE94" s="3">
        <v>151.95179999999999</v>
      </c>
      <c r="AF94">
        <v>5.5</v>
      </c>
      <c r="AG94">
        <v>6.5</v>
      </c>
      <c r="AH94">
        <v>12.4</v>
      </c>
      <c r="AI94">
        <v>42.5</v>
      </c>
      <c r="AJ94">
        <v>65</v>
      </c>
      <c r="AK94">
        <v>19</v>
      </c>
      <c r="AL94">
        <v>29</v>
      </c>
      <c r="AM94">
        <v>0</v>
      </c>
      <c r="AN94">
        <v>63</v>
      </c>
      <c r="AO94">
        <v>1</v>
      </c>
      <c r="AP94">
        <v>1</v>
      </c>
      <c r="AQ94">
        <v>28</v>
      </c>
      <c r="AR94">
        <v>7</v>
      </c>
      <c r="AS94">
        <v>148</v>
      </c>
      <c r="AT94" s="7">
        <f t="shared" ref="AT94:AT95" si="97">AN94*AF94</f>
        <v>346.5</v>
      </c>
      <c r="AU94">
        <f t="shared" ref="AU94:AU95" si="98">AQ94*AF94</f>
        <v>154</v>
      </c>
      <c r="AV94" s="8">
        <f t="shared" ref="AV94:AV95" si="99">(AS94*AT94)/AU94</f>
        <v>333</v>
      </c>
      <c r="AW94" s="8">
        <f t="shared" ref="AW94:AW95" si="100">AT94/AU94</f>
        <v>2.25</v>
      </c>
    </row>
    <row r="95" spans="1:49" ht="23.4" hidden="1" x14ac:dyDescent="0.45">
      <c r="A95" s="2" t="s">
        <v>93</v>
      </c>
      <c r="B95" s="2" t="s">
        <v>86</v>
      </c>
      <c r="C95" s="2">
        <v>21</v>
      </c>
      <c r="D95" s="2" t="s">
        <v>204</v>
      </c>
      <c r="E95" s="2"/>
      <c r="F95" s="2" t="s">
        <v>211</v>
      </c>
      <c r="G95" s="2" t="s">
        <v>205</v>
      </c>
      <c r="H95" s="2" t="s">
        <v>208</v>
      </c>
      <c r="I95" s="2" t="s">
        <v>30</v>
      </c>
      <c r="J95" s="3">
        <v>273.0716854750674</v>
      </c>
      <c r="K95" s="3">
        <v>23.195976894404506</v>
      </c>
      <c r="L95" s="3">
        <v>46.561049949391254</v>
      </c>
      <c r="M95" s="3">
        <v>6.8856786284857829</v>
      </c>
      <c r="N95" s="3">
        <v>1.6907120939950497</v>
      </c>
      <c r="O95" s="3">
        <v>13.044313827564544</v>
      </c>
      <c r="P95" s="3">
        <v>3.8483675488637483</v>
      </c>
      <c r="Q95" s="3">
        <v>5.7540465613547287</v>
      </c>
      <c r="R95" s="3">
        <v>42.415824874573069</v>
      </c>
      <c r="S95" s="3">
        <v>22.92767771937703</v>
      </c>
      <c r="T95" s="3">
        <v>106.71059723230664</v>
      </c>
      <c r="U95" s="3">
        <v>193.02856577417197</v>
      </c>
      <c r="V95" s="3">
        <v>496.78177286164527</v>
      </c>
      <c r="W95" s="3">
        <v>659.5496657406967</v>
      </c>
      <c r="X95" s="3">
        <v>787.67119695381803</v>
      </c>
      <c r="Y95" s="3">
        <v>5869.9783573420227</v>
      </c>
      <c r="Z95" s="3">
        <v>23.308108170618976</v>
      </c>
      <c r="AA95" s="3">
        <v>54.434592316703203</v>
      </c>
      <c r="AB95" s="3">
        <v>98.319000000000003</v>
      </c>
      <c r="AC95" s="3">
        <v>120.82849999999999</v>
      </c>
      <c r="AD95" s="3">
        <v>461.8152</v>
      </c>
      <c r="AE95" s="3">
        <v>113.1858</v>
      </c>
      <c r="AF95">
        <v>8.1</v>
      </c>
      <c r="AG95">
        <v>6.6</v>
      </c>
      <c r="AH95">
        <v>12.7</v>
      </c>
      <c r="AI95">
        <v>43.8</v>
      </c>
      <c r="AJ95">
        <v>66</v>
      </c>
      <c r="AK95">
        <v>19.2</v>
      </c>
      <c r="AL95">
        <v>29</v>
      </c>
      <c r="AM95">
        <v>0</v>
      </c>
      <c r="AN95">
        <v>75</v>
      </c>
      <c r="AO95">
        <v>1</v>
      </c>
      <c r="AP95">
        <v>1</v>
      </c>
      <c r="AQ95">
        <v>17</v>
      </c>
      <c r="AR95">
        <v>6</v>
      </c>
      <c r="AS95">
        <v>178</v>
      </c>
      <c r="AT95" s="7">
        <f t="shared" si="97"/>
        <v>607.5</v>
      </c>
      <c r="AU95">
        <f t="shared" si="98"/>
        <v>137.69999999999999</v>
      </c>
      <c r="AV95" s="8">
        <f t="shared" si="99"/>
        <v>785.2941176470589</v>
      </c>
      <c r="AW95" s="8">
        <f t="shared" si="100"/>
        <v>4.4117647058823533</v>
      </c>
    </row>
    <row r="96" spans="1:49" ht="23.4" hidden="1" x14ac:dyDescent="0.45">
      <c r="A96" s="2" t="s">
        <v>35</v>
      </c>
      <c r="B96" s="2" t="s">
        <v>27</v>
      </c>
      <c r="C96" s="2">
        <v>22</v>
      </c>
      <c r="D96" s="2" t="s">
        <v>205</v>
      </c>
      <c r="E96" s="2"/>
      <c r="F96" s="2" t="s">
        <v>211</v>
      </c>
      <c r="G96" s="2" t="s">
        <v>214</v>
      </c>
      <c r="H96" s="2" t="s">
        <v>207</v>
      </c>
      <c r="I96" s="2" t="s">
        <v>28</v>
      </c>
      <c r="J96" s="3">
        <v>20.419348261360103</v>
      </c>
      <c r="K96" s="3">
        <v>2.6845043211582476</v>
      </c>
      <c r="L96" s="3">
        <v>3.5273678564012516</v>
      </c>
      <c r="M96" s="3">
        <v>4048.9760251873158</v>
      </c>
      <c r="N96" s="3">
        <v>0.39572443101895377</v>
      </c>
      <c r="O96" s="3">
        <v>3.9337502307376071</v>
      </c>
      <c r="P96" s="3">
        <v>60.594211595183268</v>
      </c>
      <c r="Q96" s="3">
        <v>19.391179117968651</v>
      </c>
      <c r="R96" s="3">
        <v>0.1729</v>
      </c>
      <c r="S96" s="3">
        <v>1.8392419164258678</v>
      </c>
      <c r="T96" s="3">
        <v>58.695712464990294</v>
      </c>
      <c r="U96" s="3">
        <v>448.4274307350201</v>
      </c>
      <c r="V96" s="3">
        <v>10.762858552827169</v>
      </c>
      <c r="W96" s="3">
        <v>2261.3920872886674</v>
      </c>
      <c r="X96" s="3">
        <v>10.665914476978736</v>
      </c>
      <c r="Y96" s="3">
        <v>72.163316419388792</v>
      </c>
      <c r="Z96" s="3">
        <v>0.25900000000000001</v>
      </c>
      <c r="AA96" s="3">
        <v>5.3524091233433904</v>
      </c>
      <c r="AB96" s="3">
        <v>15.639326427454286</v>
      </c>
      <c r="AC96" s="3">
        <v>35.567287593886945</v>
      </c>
      <c r="AD96" s="3">
        <v>1.8008395837993267</v>
      </c>
      <c r="AE96" s="3">
        <v>8.5384615384615383</v>
      </c>
    </row>
    <row r="97" spans="1:49" ht="23.4" hidden="1" x14ac:dyDescent="0.45">
      <c r="A97" s="2" t="s">
        <v>36</v>
      </c>
      <c r="B97" s="2" t="s">
        <v>27</v>
      </c>
      <c r="C97" s="2">
        <v>22</v>
      </c>
      <c r="D97" s="2" t="s">
        <v>205</v>
      </c>
      <c r="E97" s="2"/>
      <c r="F97" s="2" t="s">
        <v>211</v>
      </c>
      <c r="G97" s="2" t="s">
        <v>214</v>
      </c>
      <c r="H97" s="2" t="s">
        <v>207</v>
      </c>
      <c r="I97" s="2" t="s">
        <v>30</v>
      </c>
      <c r="J97" s="3">
        <v>76.714468858254975</v>
      </c>
      <c r="K97" s="3">
        <v>20.339925678135348</v>
      </c>
      <c r="L97" s="3">
        <v>13.374670603561311</v>
      </c>
      <c r="M97" s="3">
        <v>990.55371349512177</v>
      </c>
      <c r="N97" s="3">
        <v>3.1746427196126552</v>
      </c>
      <c r="O97" s="3">
        <v>11.674370275210482</v>
      </c>
      <c r="P97" s="3">
        <v>49.46031620725973</v>
      </c>
      <c r="Q97" s="3">
        <v>807.2499547120716</v>
      </c>
      <c r="R97" s="3">
        <v>16.627615170228207</v>
      </c>
      <c r="S97" s="3">
        <v>6.4756540868685066</v>
      </c>
      <c r="T97" s="3">
        <v>58.554781664708656</v>
      </c>
      <c r="U97" s="3">
        <v>126.90900354283723</v>
      </c>
      <c r="V97" s="3">
        <v>5900.2269226323024</v>
      </c>
      <c r="W97" s="3">
        <v>2600.6588491616826</v>
      </c>
      <c r="X97" s="3">
        <v>154.43605099761965</v>
      </c>
      <c r="Y97" s="3">
        <v>104719.84587504619</v>
      </c>
      <c r="Z97" s="3">
        <v>43.468790853109603</v>
      </c>
      <c r="AA97" s="3">
        <v>58.479389527549827</v>
      </c>
      <c r="AB97" s="3">
        <v>600.51140195440757</v>
      </c>
      <c r="AC97" s="3">
        <v>71.435174746080492</v>
      </c>
      <c r="AD97" s="3">
        <v>66.47076237100238</v>
      </c>
      <c r="AE97" s="3">
        <v>8.1467889908256872</v>
      </c>
    </row>
    <row r="98" spans="1:49" ht="23.4" hidden="1" x14ac:dyDescent="0.45">
      <c r="A98" s="2" t="s">
        <v>94</v>
      </c>
      <c r="B98" s="2" t="s">
        <v>86</v>
      </c>
      <c r="C98" s="2">
        <v>22</v>
      </c>
      <c r="D98" s="2" t="s">
        <v>205</v>
      </c>
      <c r="E98" s="2"/>
      <c r="F98" s="2" t="s">
        <v>211</v>
      </c>
      <c r="G98" s="2" t="s">
        <v>214</v>
      </c>
      <c r="H98" s="2" t="s">
        <v>207</v>
      </c>
      <c r="I98" s="2" t="s">
        <v>28</v>
      </c>
      <c r="J98" s="3">
        <v>73.497110361454261</v>
      </c>
      <c r="K98" s="3">
        <v>13.992103344430712</v>
      </c>
      <c r="L98" s="3">
        <v>5.2550930824987692</v>
      </c>
      <c r="M98" s="3">
        <v>2.7290770405559432</v>
      </c>
      <c r="N98" s="3">
        <v>0.38574601393396146</v>
      </c>
      <c r="O98" s="3">
        <v>2.2784</v>
      </c>
      <c r="P98" s="3">
        <v>2.300952452326912</v>
      </c>
      <c r="Q98" s="3">
        <v>5.4938006881676191</v>
      </c>
      <c r="R98" s="3">
        <v>1.4873661686980895</v>
      </c>
      <c r="S98" s="3">
        <v>7.1430879053686382</v>
      </c>
      <c r="T98" s="3">
        <v>14.90131771749809</v>
      </c>
      <c r="U98" s="3">
        <v>53.956791160789685</v>
      </c>
      <c r="V98" s="3">
        <v>427.45671680600668</v>
      </c>
      <c r="W98" s="3">
        <v>519.46649569203794</v>
      </c>
      <c r="X98" s="3">
        <v>407.81259047261761</v>
      </c>
      <c r="Y98" s="3">
        <v>2243.4353298491696</v>
      </c>
      <c r="Z98" s="3">
        <v>8.5333270405197226</v>
      </c>
      <c r="AA98" s="3">
        <v>27.659604566339549</v>
      </c>
      <c r="AB98" s="3">
        <v>35.606999999999999</v>
      </c>
      <c r="AC98" s="3">
        <v>40.617399999999996</v>
      </c>
      <c r="AD98" s="3">
        <v>457.53119999999996</v>
      </c>
      <c r="AE98" s="3">
        <v>169.47839999999999</v>
      </c>
      <c r="AF98">
        <v>4.2</v>
      </c>
      <c r="AG98">
        <v>3.63</v>
      </c>
      <c r="AH98">
        <v>12.6</v>
      </c>
      <c r="AI98">
        <v>37.9</v>
      </c>
      <c r="AJ98">
        <v>105</v>
      </c>
      <c r="AK98">
        <v>34.700000000000003</v>
      </c>
      <c r="AL98">
        <v>33.1</v>
      </c>
      <c r="AM98">
        <v>0</v>
      </c>
      <c r="AN98">
        <v>50</v>
      </c>
      <c r="AO98">
        <v>9</v>
      </c>
      <c r="AP98">
        <v>2</v>
      </c>
      <c r="AQ98">
        <v>32</v>
      </c>
      <c r="AR98">
        <v>7</v>
      </c>
      <c r="AS98">
        <v>217</v>
      </c>
      <c r="AT98" s="7">
        <f t="shared" ref="AT98" si="101">AN98*AF98</f>
        <v>210</v>
      </c>
      <c r="AU98">
        <f t="shared" ref="AU98:AU99" si="102">AQ98*AF98</f>
        <v>134.4</v>
      </c>
      <c r="AV98" s="8">
        <f t="shared" ref="AV98" si="103">(AS98*AT98)/AU98</f>
        <v>339.0625</v>
      </c>
      <c r="AW98" s="8">
        <f t="shared" ref="AW98" si="104">AT98/AU98</f>
        <v>1.5625</v>
      </c>
    </row>
    <row r="99" spans="1:49" ht="23.4" hidden="1" x14ac:dyDescent="0.45">
      <c r="A99" s="2" t="s">
        <v>95</v>
      </c>
      <c r="B99" s="2" t="s">
        <v>86</v>
      </c>
      <c r="C99" s="2">
        <v>22</v>
      </c>
      <c r="D99" s="2" t="s">
        <v>205</v>
      </c>
      <c r="E99" s="2"/>
      <c r="F99" s="2" t="s">
        <v>211</v>
      </c>
      <c r="G99" s="2" t="s">
        <v>214</v>
      </c>
      <c r="H99" s="2" t="s">
        <v>207</v>
      </c>
      <c r="I99" s="2" t="s">
        <v>30</v>
      </c>
      <c r="J99" s="3">
        <v>132.78161495870643</v>
      </c>
      <c r="K99" s="3">
        <v>34.717089361932707</v>
      </c>
      <c r="L99" s="3">
        <v>4.488377994416207</v>
      </c>
      <c r="M99" s="3">
        <v>3.9418858397433274</v>
      </c>
      <c r="N99" s="3">
        <v>0.4452642754127823</v>
      </c>
      <c r="O99" s="3">
        <v>1.819334875938732</v>
      </c>
      <c r="P99" s="3">
        <v>1.9602717247222972</v>
      </c>
      <c r="Q99" s="3">
        <v>4.1833629641134795</v>
      </c>
      <c r="R99" s="3">
        <v>4.3573960541833374</v>
      </c>
      <c r="S99" s="3">
        <v>8.8760642017809985</v>
      </c>
      <c r="T99" s="3">
        <v>24.780592070161884</v>
      </c>
      <c r="U99" s="3">
        <v>56.786165433661722</v>
      </c>
      <c r="V99" s="3">
        <v>984.25860046027924</v>
      </c>
      <c r="W99" s="3">
        <v>205.1131145098079</v>
      </c>
      <c r="X99" s="3">
        <v>481.23811030904983</v>
      </c>
      <c r="Y99" s="3">
        <v>6093.4085900102564</v>
      </c>
      <c r="Z99" s="3">
        <v>12.859252654435316</v>
      </c>
      <c r="AA99" s="3">
        <v>36.840572195840878</v>
      </c>
      <c r="AB99" s="3">
        <v>61.23</v>
      </c>
      <c r="AC99" s="3">
        <v>318.06039999999996</v>
      </c>
      <c r="AD99" s="3">
        <v>491.01779999999997</v>
      </c>
      <c r="AE99" s="3">
        <v>280.97160000000002</v>
      </c>
      <c r="AF99">
        <v>4.2</v>
      </c>
      <c r="AG99">
        <v>3.79</v>
      </c>
      <c r="AH99">
        <v>12.4</v>
      </c>
      <c r="AI99">
        <v>38.9</v>
      </c>
      <c r="AJ99">
        <v>103</v>
      </c>
      <c r="AK99">
        <v>32.700000000000003</v>
      </c>
      <c r="AL99">
        <v>31.9</v>
      </c>
      <c r="AM99">
        <v>0</v>
      </c>
      <c r="AN99">
        <v>60</v>
      </c>
      <c r="AO99">
        <v>6</v>
      </c>
      <c r="AP99">
        <v>2</v>
      </c>
      <c r="AQ99">
        <v>26</v>
      </c>
      <c r="AR99">
        <v>6</v>
      </c>
      <c r="AS99" s="10">
        <v>227</v>
      </c>
      <c r="AT99" s="10">
        <f>AN99*AF99</f>
        <v>252</v>
      </c>
      <c r="AU99" s="10">
        <f t="shared" si="102"/>
        <v>109.2</v>
      </c>
      <c r="AV99" s="8">
        <f>(AS99*AT99)/AU99</f>
        <v>523.84615384615381</v>
      </c>
      <c r="AW99" s="11">
        <f>AT99/AU99</f>
        <v>2.3076923076923075</v>
      </c>
    </row>
    <row r="100" spans="1:49" ht="23.4" hidden="1" x14ac:dyDescent="0.45">
      <c r="A100" s="2" t="s">
        <v>37</v>
      </c>
      <c r="B100" s="2" t="s">
        <v>27</v>
      </c>
      <c r="C100" s="2">
        <v>23</v>
      </c>
      <c r="D100" s="2" t="s">
        <v>204</v>
      </c>
      <c r="E100" s="2"/>
      <c r="F100" s="2" t="s">
        <v>211</v>
      </c>
      <c r="G100" s="2" t="s">
        <v>214</v>
      </c>
      <c r="H100" s="2" t="s">
        <v>207</v>
      </c>
      <c r="I100" s="2" t="s">
        <v>28</v>
      </c>
      <c r="J100" s="3">
        <v>26.453004340482291</v>
      </c>
      <c r="K100" s="3">
        <v>36.099508726362821</v>
      </c>
      <c r="L100" s="3">
        <v>0.87607603422579639</v>
      </c>
      <c r="M100" s="3">
        <v>306.0778922367133</v>
      </c>
      <c r="N100" s="3">
        <v>0.31609324751129958</v>
      </c>
      <c r="O100" s="3">
        <v>8.353897804450872</v>
      </c>
      <c r="P100" s="3">
        <v>0.36980441029650329</v>
      </c>
      <c r="Q100" s="3">
        <v>7.1924152988265906</v>
      </c>
      <c r="R100" s="3">
        <v>0.1729</v>
      </c>
      <c r="S100" s="3">
        <v>0.89239647917209441</v>
      </c>
      <c r="T100" s="3">
        <v>49.020516140193898</v>
      </c>
      <c r="U100" s="3">
        <v>42.937393547600031</v>
      </c>
      <c r="V100" s="3">
        <v>28.388189699652241</v>
      </c>
      <c r="W100" s="3">
        <v>4000.1033350268553</v>
      </c>
      <c r="X100" s="3">
        <v>17.177763573923293</v>
      </c>
      <c r="Y100" s="3">
        <v>234.56444488066509</v>
      </c>
      <c r="Z100" s="3">
        <v>0.25900000000000001</v>
      </c>
      <c r="AA100" s="3">
        <v>5.0743121585286524</v>
      </c>
      <c r="AB100" s="3">
        <v>12.999999370650483</v>
      </c>
      <c r="AC100" s="3">
        <v>0.83805468734333355</v>
      </c>
      <c r="AD100" s="3">
        <v>2.0993033327868438</v>
      </c>
      <c r="AE100" s="3">
        <v>161.49951560245955</v>
      </c>
    </row>
    <row r="101" spans="1:49" ht="23.4" hidden="1" x14ac:dyDescent="0.45">
      <c r="A101" s="2" t="s">
        <v>38</v>
      </c>
      <c r="B101" s="2" t="s">
        <v>27</v>
      </c>
      <c r="C101" s="2">
        <v>23</v>
      </c>
      <c r="D101" s="2" t="s">
        <v>204</v>
      </c>
      <c r="E101" s="2"/>
      <c r="F101" s="2" t="s">
        <v>211</v>
      </c>
      <c r="G101" s="2" t="s">
        <v>214</v>
      </c>
      <c r="H101" s="2" t="s">
        <v>207</v>
      </c>
      <c r="I101" s="2" t="s">
        <v>30</v>
      </c>
      <c r="J101" s="3">
        <v>31.267439415883608</v>
      </c>
      <c r="K101" s="3">
        <v>12.215468412139501</v>
      </c>
      <c r="L101" s="3">
        <v>3.931276321472883</v>
      </c>
      <c r="M101" s="3">
        <v>119.15455747203377</v>
      </c>
      <c r="N101" s="3">
        <v>0.9532582921217243</v>
      </c>
      <c r="O101" s="3">
        <v>3.5772715125354164</v>
      </c>
      <c r="P101" s="3">
        <v>21.921969909265957</v>
      </c>
      <c r="Q101" s="3">
        <v>110.6831187582666</v>
      </c>
      <c r="R101" s="3">
        <v>47.677141078309184</v>
      </c>
      <c r="S101" s="3">
        <v>2.3287804372434002</v>
      </c>
      <c r="T101" s="3">
        <v>26.66730279822707</v>
      </c>
      <c r="U101" s="3">
        <v>19.49079548048676</v>
      </c>
      <c r="V101" s="3">
        <v>8000.0461640411113</v>
      </c>
      <c r="W101" s="3">
        <v>1480.3243531151086</v>
      </c>
      <c r="X101" s="3">
        <v>43.221713129601838</v>
      </c>
      <c r="Y101" s="3">
        <v>25121.993274505265</v>
      </c>
      <c r="Z101" s="3">
        <v>18.555327019261004</v>
      </c>
      <c r="AA101" s="3">
        <v>19.147451361337072</v>
      </c>
      <c r="AB101" s="3">
        <v>188.27095723709519</v>
      </c>
      <c r="AC101" s="3">
        <v>251.42877081440588</v>
      </c>
      <c r="AD101" s="3">
        <v>121.5254253019443</v>
      </c>
      <c r="AE101" s="3">
        <v>142.82494004634864</v>
      </c>
    </row>
    <row r="102" spans="1:49" ht="23.4" hidden="1" x14ac:dyDescent="0.45">
      <c r="A102" s="2" t="s">
        <v>74</v>
      </c>
      <c r="B102" s="2" t="s">
        <v>27</v>
      </c>
      <c r="C102" s="2">
        <v>23</v>
      </c>
      <c r="D102" s="2" t="s">
        <v>204</v>
      </c>
      <c r="E102" s="2"/>
      <c r="F102" s="2" t="s">
        <v>211</v>
      </c>
      <c r="G102" s="2" t="s">
        <v>214</v>
      </c>
      <c r="H102" s="2" t="s">
        <v>207</v>
      </c>
      <c r="I102" s="2" t="s">
        <v>56</v>
      </c>
      <c r="J102" s="3">
        <v>6.1514567147509149</v>
      </c>
      <c r="K102" s="3">
        <v>8.6267193657257124</v>
      </c>
      <c r="L102" s="3">
        <v>0.29899999999999999</v>
      </c>
      <c r="M102" s="3">
        <v>43.854808998205115</v>
      </c>
      <c r="N102" s="3">
        <v>0.15820000000000001</v>
      </c>
      <c r="O102" s="3">
        <v>4.6392291081065125</v>
      </c>
      <c r="P102" s="3">
        <v>9.8000000000000004E-2</v>
      </c>
      <c r="Q102" s="3">
        <v>6.299290284073491</v>
      </c>
      <c r="R102" s="3">
        <v>0.1729</v>
      </c>
      <c r="S102" s="3">
        <v>0.16413292279602099</v>
      </c>
      <c r="T102" s="3">
        <v>19.772945298354713</v>
      </c>
      <c r="U102" s="3">
        <v>0.47435000000000005</v>
      </c>
      <c r="V102" s="3">
        <v>6.3254796539786371</v>
      </c>
      <c r="W102" s="3">
        <v>626.05809626428038</v>
      </c>
      <c r="X102" s="3">
        <v>1.7109172289038768</v>
      </c>
      <c r="Y102" s="3">
        <v>145.5666393793482</v>
      </c>
      <c r="Z102" s="3">
        <v>0.25900000000000001</v>
      </c>
      <c r="AA102" s="3">
        <v>1.6081825589642829</v>
      </c>
      <c r="AB102" s="3">
        <v>4.4204999196417134</v>
      </c>
      <c r="AC102" s="3">
        <v>0.61900958466453671</v>
      </c>
      <c r="AD102" s="3">
        <v>0.74760383386581475</v>
      </c>
      <c r="AE102" s="3">
        <v>12.146089104016516</v>
      </c>
    </row>
    <row r="103" spans="1:49" ht="23.4" hidden="1" x14ac:dyDescent="0.45">
      <c r="A103" s="2" t="s">
        <v>96</v>
      </c>
      <c r="B103" s="2" t="s">
        <v>86</v>
      </c>
      <c r="C103" s="2">
        <v>23</v>
      </c>
      <c r="D103" s="2" t="s">
        <v>204</v>
      </c>
      <c r="E103" s="2"/>
      <c r="F103" s="2" t="s">
        <v>211</v>
      </c>
      <c r="G103" s="2" t="s">
        <v>214</v>
      </c>
      <c r="H103" s="2" t="s">
        <v>207</v>
      </c>
      <c r="I103" s="2" t="s">
        <v>28</v>
      </c>
      <c r="J103" s="3">
        <v>176.03259255716148</v>
      </c>
      <c r="K103" s="3">
        <v>16.664954318293375</v>
      </c>
      <c r="L103" s="3">
        <v>11.819987093526484</v>
      </c>
      <c r="M103" s="3">
        <v>4.870810292240261</v>
      </c>
      <c r="N103" s="3">
        <v>0.44443679007128889</v>
      </c>
      <c r="O103" s="3">
        <v>3.6240102298833983</v>
      </c>
      <c r="P103" s="3">
        <v>0.87037641156023837</v>
      </c>
      <c r="Q103" s="3">
        <v>2.7605917917657901</v>
      </c>
      <c r="R103" s="3">
        <v>182.58101947037397</v>
      </c>
      <c r="S103" s="3">
        <v>5.3212091567992683</v>
      </c>
      <c r="T103" s="3">
        <v>24.667383994392548</v>
      </c>
      <c r="U103" s="3">
        <v>40.705482839642166</v>
      </c>
      <c r="V103" s="3">
        <v>475.57910129394554</v>
      </c>
      <c r="W103" s="3">
        <v>273.61858412276615</v>
      </c>
      <c r="X103" s="3">
        <v>768.03156870342161</v>
      </c>
      <c r="Y103" s="3">
        <v>2004.0200626931307</v>
      </c>
      <c r="Z103" s="3">
        <v>11.909764480921741</v>
      </c>
      <c r="AA103" s="3">
        <v>26.823782079532375</v>
      </c>
      <c r="AB103" s="3">
        <v>71.213999999999999</v>
      </c>
      <c r="AC103" s="3">
        <v>117.36009999999999</v>
      </c>
      <c r="AD103" s="3">
        <v>248.93610000000001</v>
      </c>
      <c r="AE103" s="3">
        <v>193.99379999999999</v>
      </c>
      <c r="AF103">
        <v>4.8</v>
      </c>
      <c r="AG103">
        <v>4.3600000000000003</v>
      </c>
      <c r="AH103">
        <v>13.7</v>
      </c>
      <c r="AI103">
        <v>39.6</v>
      </c>
      <c r="AJ103">
        <v>92</v>
      </c>
      <c r="AK103">
        <v>31.5</v>
      </c>
      <c r="AL103">
        <v>33.6</v>
      </c>
      <c r="AN103">
        <v>42</v>
      </c>
      <c r="AO103">
        <v>3</v>
      </c>
      <c r="AP103">
        <v>2</v>
      </c>
      <c r="AQ103">
        <v>45</v>
      </c>
      <c r="AR103">
        <v>8</v>
      </c>
      <c r="AS103">
        <v>226</v>
      </c>
      <c r="AT103" s="7">
        <f t="shared" ref="AT103:AT104" si="105">AN103*AF103</f>
        <v>201.6</v>
      </c>
      <c r="AU103">
        <f t="shared" ref="AU103:AU104" si="106">AQ103*AF103</f>
        <v>216</v>
      </c>
      <c r="AV103" s="8">
        <f t="shared" ref="AV103:AV104" si="107">(AS103*AT103)/AU103</f>
        <v>210.93333333333334</v>
      </c>
      <c r="AW103" s="8">
        <f t="shared" ref="AW103:AW104" si="108">AT103/AU103</f>
        <v>0.93333333333333335</v>
      </c>
    </row>
    <row r="104" spans="1:49" ht="23.4" hidden="1" x14ac:dyDescent="0.45">
      <c r="A104" s="2" t="s">
        <v>97</v>
      </c>
      <c r="B104" s="2" t="s">
        <v>86</v>
      </c>
      <c r="C104" s="2">
        <v>23</v>
      </c>
      <c r="D104" s="2" t="s">
        <v>204</v>
      </c>
      <c r="E104" s="2"/>
      <c r="F104" s="2" t="s">
        <v>211</v>
      </c>
      <c r="G104" s="2" t="s">
        <v>214</v>
      </c>
      <c r="H104" s="2" t="s">
        <v>207</v>
      </c>
      <c r="I104" s="2" t="s">
        <v>30</v>
      </c>
      <c r="J104" s="3">
        <v>139.99390677069334</v>
      </c>
      <c r="K104" s="3">
        <v>17.890987978276172</v>
      </c>
      <c r="L104" s="3">
        <v>14.609793150426075</v>
      </c>
      <c r="M104" s="3">
        <v>4.1774084196270858</v>
      </c>
      <c r="N104" s="3">
        <v>0.56264582768743621</v>
      </c>
      <c r="O104" s="3">
        <v>5.392249519798952</v>
      </c>
      <c r="P104" s="3">
        <v>1.6102175272531203</v>
      </c>
      <c r="Q104" s="3">
        <v>2.3551506707756538</v>
      </c>
      <c r="R104" s="3">
        <v>262.924216368342</v>
      </c>
      <c r="S104" s="3">
        <v>6.2508774143344725</v>
      </c>
      <c r="T104" s="3">
        <v>42.027466398280403</v>
      </c>
      <c r="U104" s="3">
        <v>46.796311707575057</v>
      </c>
      <c r="V104" s="3">
        <v>857.57716772953586</v>
      </c>
      <c r="W104" s="3">
        <v>250.92858642935767</v>
      </c>
      <c r="X104" s="3">
        <v>1493.4861830880172</v>
      </c>
      <c r="Y104" s="3">
        <v>5738.9307881522773</v>
      </c>
      <c r="Z104" s="3">
        <v>12.097695268322267</v>
      </c>
      <c r="AA104" s="3">
        <v>35.730361556602475</v>
      </c>
      <c r="AB104" s="3">
        <v>95.462249999999997</v>
      </c>
      <c r="AC104" s="3">
        <v>139.05064999999999</v>
      </c>
      <c r="AD104" s="3">
        <v>358.24949999999995</v>
      </c>
      <c r="AE104" s="3">
        <v>188.71125000000001</v>
      </c>
      <c r="AF104">
        <v>4.9000000000000004</v>
      </c>
      <c r="AG104">
        <v>4.42</v>
      </c>
      <c r="AH104">
        <v>13.7</v>
      </c>
      <c r="AI104">
        <v>40.6</v>
      </c>
      <c r="AJ104">
        <v>92</v>
      </c>
      <c r="AK104">
        <v>31.4</v>
      </c>
      <c r="AL104">
        <v>34.1</v>
      </c>
      <c r="AM104">
        <v>0</v>
      </c>
      <c r="AN104">
        <v>58</v>
      </c>
      <c r="AO104">
        <v>3</v>
      </c>
      <c r="AP104">
        <v>0</v>
      </c>
      <c r="AQ104">
        <v>32</v>
      </c>
      <c r="AR104">
        <v>7</v>
      </c>
      <c r="AS104">
        <v>219</v>
      </c>
      <c r="AT104" s="7">
        <f t="shared" si="105"/>
        <v>284.20000000000005</v>
      </c>
      <c r="AU104">
        <f t="shared" si="106"/>
        <v>156.80000000000001</v>
      </c>
      <c r="AV104" s="8">
        <f t="shared" si="107"/>
        <v>396.93750000000006</v>
      </c>
      <c r="AW104" s="8">
        <f t="shared" si="108"/>
        <v>1.8125000000000002</v>
      </c>
    </row>
    <row r="105" spans="1:49" ht="23.4" hidden="1" x14ac:dyDescent="0.45">
      <c r="A105" s="2" t="s">
        <v>39</v>
      </c>
      <c r="B105" s="2" t="s">
        <v>27</v>
      </c>
      <c r="C105" s="2">
        <v>24</v>
      </c>
      <c r="D105" s="2" t="s">
        <v>205</v>
      </c>
      <c r="E105" s="2"/>
      <c r="F105" s="2" t="s">
        <v>211</v>
      </c>
      <c r="G105" s="2" t="s">
        <v>205</v>
      </c>
      <c r="H105" s="2" t="s">
        <v>208</v>
      </c>
      <c r="I105" s="2" t="s">
        <v>28</v>
      </c>
      <c r="J105" s="3">
        <v>37.962994274259678</v>
      </c>
      <c r="K105" s="3">
        <v>3.4373422418377086</v>
      </c>
      <c r="L105" s="3">
        <v>0.82655869316085995</v>
      </c>
      <c r="M105" s="3">
        <v>224.85116796252848</v>
      </c>
      <c r="N105" s="3">
        <v>0.15820000000000001</v>
      </c>
      <c r="O105" s="3">
        <v>2.6839982226840089</v>
      </c>
      <c r="P105" s="3">
        <v>9.3849183396917368</v>
      </c>
      <c r="Q105" s="3">
        <v>5.0924670701752319</v>
      </c>
      <c r="R105" s="3">
        <v>0.1729</v>
      </c>
      <c r="S105" s="3">
        <v>0.29781799904437434</v>
      </c>
      <c r="T105" s="3">
        <v>20.233775425335605</v>
      </c>
      <c r="U105" s="3">
        <v>65.601535745284565</v>
      </c>
      <c r="V105" s="3">
        <v>46.122180031363072</v>
      </c>
      <c r="W105" s="3">
        <v>4264.1611514406131</v>
      </c>
      <c r="X105" s="3">
        <v>12.520605950988232</v>
      </c>
      <c r="Y105" s="3">
        <v>326.88141616979811</v>
      </c>
      <c r="Z105" s="3">
        <v>0.25900000000000001</v>
      </c>
      <c r="AA105" s="3">
        <v>2.9180355997438867</v>
      </c>
      <c r="AB105" s="3">
        <v>11.317256133722456</v>
      </c>
      <c r="AC105" s="3">
        <v>0.7428608515853875</v>
      </c>
      <c r="AD105" s="3">
        <v>9.8768680482353979</v>
      </c>
      <c r="AE105" s="3">
        <v>6.4347826086956532</v>
      </c>
    </row>
    <row r="106" spans="1:49" ht="23.4" hidden="1" x14ac:dyDescent="0.45">
      <c r="A106" s="2" t="s">
        <v>40</v>
      </c>
      <c r="B106" s="2" t="s">
        <v>27</v>
      </c>
      <c r="C106" s="2">
        <v>24</v>
      </c>
      <c r="D106" s="2" t="s">
        <v>205</v>
      </c>
      <c r="E106" s="2"/>
      <c r="F106" s="2" t="s">
        <v>211</v>
      </c>
      <c r="G106" s="2" t="s">
        <v>205</v>
      </c>
      <c r="H106" s="2" t="s">
        <v>208</v>
      </c>
      <c r="I106" s="2" t="s">
        <v>30</v>
      </c>
      <c r="J106" s="3">
        <v>96.594023202954673</v>
      </c>
      <c r="K106" s="3">
        <v>17.694642467940543</v>
      </c>
      <c r="L106" s="3">
        <v>15.249066220485419</v>
      </c>
      <c r="M106" s="3">
        <v>255.92107836252191</v>
      </c>
      <c r="N106" s="3">
        <v>2.0263866556318217</v>
      </c>
      <c r="O106" s="3">
        <v>9.8093507884760935</v>
      </c>
      <c r="P106" s="3">
        <v>86.160642182767873</v>
      </c>
      <c r="Q106" s="3">
        <v>472.39657726647948</v>
      </c>
      <c r="R106" s="3">
        <v>1.6229329187126589</v>
      </c>
      <c r="S106" s="3">
        <v>5.1792802092521413</v>
      </c>
      <c r="T106" s="3">
        <v>46.480297649021175</v>
      </c>
      <c r="U106" s="3">
        <v>44.149461548372237</v>
      </c>
      <c r="V106" s="3">
        <v>4730.668565696009</v>
      </c>
      <c r="W106" s="3">
        <v>4552.480265621396</v>
      </c>
      <c r="X106" s="3">
        <v>248.6939994738903</v>
      </c>
      <c r="Y106" s="3">
        <v>23674.535679681587</v>
      </c>
      <c r="Z106" s="3">
        <v>39.693096927857574</v>
      </c>
      <c r="AA106" s="3">
        <v>11.522816975758413</v>
      </c>
      <c r="AB106" s="3">
        <v>43.211660883547694</v>
      </c>
      <c r="AC106" s="3">
        <v>67.152679703284164</v>
      </c>
      <c r="AD106" s="3">
        <v>876.29479291811731</v>
      </c>
      <c r="AE106" s="3">
        <v>7.2667757774140753</v>
      </c>
    </row>
    <row r="107" spans="1:49" ht="23.4" hidden="1" x14ac:dyDescent="0.45">
      <c r="A107" s="2" t="s">
        <v>75</v>
      </c>
      <c r="B107" s="2" t="s">
        <v>27</v>
      </c>
      <c r="C107" s="2">
        <v>24</v>
      </c>
      <c r="D107" s="2" t="s">
        <v>205</v>
      </c>
      <c r="E107" s="2"/>
      <c r="F107" s="2" t="s">
        <v>211</v>
      </c>
      <c r="G107" s="2" t="s">
        <v>205</v>
      </c>
      <c r="H107" s="2" t="s">
        <v>208</v>
      </c>
      <c r="I107" s="2" t="s">
        <v>56</v>
      </c>
      <c r="J107" s="3">
        <v>106.05273355808772</v>
      </c>
      <c r="K107" s="3">
        <v>18.754610507432368</v>
      </c>
      <c r="L107" s="3">
        <v>6.2294217191959804</v>
      </c>
      <c r="M107" s="3">
        <v>3971.6287705375512</v>
      </c>
      <c r="N107" s="3">
        <v>1.0662005395329324</v>
      </c>
      <c r="O107" s="3">
        <v>18.982562533086192</v>
      </c>
      <c r="P107" s="3">
        <v>82.635492962492847</v>
      </c>
      <c r="Q107" s="3">
        <v>312.67309384760568</v>
      </c>
      <c r="R107" s="3">
        <v>0.1729</v>
      </c>
      <c r="S107" s="3">
        <v>3.0101041862229718</v>
      </c>
      <c r="T107" s="3">
        <v>105.16838524219548</v>
      </c>
      <c r="U107" s="3">
        <v>356.70412008457492</v>
      </c>
      <c r="V107" s="3">
        <v>1355.9739760139068</v>
      </c>
      <c r="W107" s="3">
        <v>8635.4752570765413</v>
      </c>
      <c r="X107" s="3">
        <v>113.09977777404245</v>
      </c>
      <c r="Y107" s="3">
        <v>3710.1055976809598</v>
      </c>
      <c r="Z107" s="3">
        <v>29.25987691324751</v>
      </c>
      <c r="AA107" s="3">
        <v>14.420998674293077</v>
      </c>
      <c r="AB107" s="3">
        <v>53.653366671596167</v>
      </c>
      <c r="AC107" s="3">
        <v>63.526331464995714</v>
      </c>
      <c r="AD107" s="3">
        <v>20.223169184747505</v>
      </c>
      <c r="AE107" s="3">
        <v>23.005181347150259</v>
      </c>
    </row>
    <row r="108" spans="1:49" ht="23.4" hidden="1" x14ac:dyDescent="0.45">
      <c r="A108" s="2" t="s">
        <v>98</v>
      </c>
      <c r="B108" s="2" t="s">
        <v>86</v>
      </c>
      <c r="C108" s="2">
        <v>24</v>
      </c>
      <c r="D108" s="2" t="s">
        <v>205</v>
      </c>
      <c r="E108" s="2"/>
      <c r="F108" s="2" t="s">
        <v>211</v>
      </c>
      <c r="G108" s="2" t="s">
        <v>205</v>
      </c>
      <c r="H108" s="2" t="s">
        <v>208</v>
      </c>
      <c r="I108" s="2" t="s">
        <v>28</v>
      </c>
      <c r="J108" s="3">
        <v>311.68254939445461</v>
      </c>
      <c r="K108" s="3">
        <v>22.142827176289597</v>
      </c>
      <c r="L108" s="3">
        <v>8.9761283648734338</v>
      </c>
      <c r="M108" s="3">
        <v>2.3519283233712267</v>
      </c>
      <c r="N108" s="3">
        <v>0.50395505155010978</v>
      </c>
      <c r="O108" s="3">
        <v>5.392249519798952</v>
      </c>
      <c r="P108" s="3">
        <v>2.0288839404574674</v>
      </c>
      <c r="Q108" s="3">
        <v>5.2762620134647262</v>
      </c>
      <c r="R108" s="3">
        <v>8.663867137089408</v>
      </c>
      <c r="S108" s="3">
        <v>12.233142898209575</v>
      </c>
      <c r="T108" s="3">
        <v>75.703249437586948</v>
      </c>
      <c r="U108" s="3">
        <v>51.919832063511798</v>
      </c>
      <c r="V108" s="3">
        <v>750.42883501443066</v>
      </c>
      <c r="W108" s="3">
        <v>332.05506644890562</v>
      </c>
      <c r="X108" s="3">
        <v>655.71567758462095</v>
      </c>
      <c r="Y108" s="3">
        <v>9017.5651741970742</v>
      </c>
      <c r="Z108" s="3">
        <v>20.68404851731832</v>
      </c>
      <c r="AA108" s="3">
        <v>52.082385343456473</v>
      </c>
      <c r="AB108" s="3">
        <v>151.77825000000001</v>
      </c>
      <c r="AC108" s="3">
        <v>94.595099999999988</v>
      </c>
      <c r="AD108" s="3">
        <v>481.00395000000003</v>
      </c>
      <c r="AE108" s="3">
        <v>282.70515</v>
      </c>
      <c r="AF108">
        <v>6.1</v>
      </c>
      <c r="AG108">
        <v>4.1500000000000004</v>
      </c>
      <c r="AH108">
        <v>13.4</v>
      </c>
      <c r="AI108">
        <v>40.4</v>
      </c>
      <c r="AJ108">
        <v>96</v>
      </c>
      <c r="AK108">
        <v>32.299999999999997</v>
      </c>
      <c r="AL108">
        <v>33.200000000000003</v>
      </c>
      <c r="AM108">
        <v>0</v>
      </c>
      <c r="AN108">
        <v>69</v>
      </c>
      <c r="AO108">
        <v>3</v>
      </c>
      <c r="AP108">
        <v>1</v>
      </c>
      <c r="AQ108">
        <v>17</v>
      </c>
      <c r="AR108">
        <v>10</v>
      </c>
      <c r="AS108">
        <v>218</v>
      </c>
      <c r="AT108" s="7">
        <f t="shared" ref="AT108:AT109" si="109">AN108*AF108</f>
        <v>420.9</v>
      </c>
      <c r="AU108">
        <f t="shared" ref="AU108:AU109" si="110">AQ108*AF108</f>
        <v>103.69999999999999</v>
      </c>
      <c r="AV108" s="8">
        <f t="shared" ref="AV108:AV109" si="111">(AS108*AT108)/AU108</f>
        <v>884.82352941176475</v>
      </c>
      <c r="AW108" s="8">
        <f t="shared" ref="AW108:AW109" si="112">AT108/AU108</f>
        <v>4.0588235294117645</v>
      </c>
    </row>
    <row r="109" spans="1:49" ht="23.4" hidden="1" x14ac:dyDescent="0.45">
      <c r="A109" s="2" t="s">
        <v>99</v>
      </c>
      <c r="B109" s="2" t="s">
        <v>86</v>
      </c>
      <c r="C109" s="2">
        <v>24</v>
      </c>
      <c r="D109" s="2" t="s">
        <v>205</v>
      </c>
      <c r="E109" s="2"/>
      <c r="F109" s="2" t="s">
        <v>211</v>
      </c>
      <c r="G109" s="2" t="s">
        <v>205</v>
      </c>
      <c r="H109" s="2" t="s">
        <v>208</v>
      </c>
      <c r="I109" s="2" t="s">
        <v>30</v>
      </c>
      <c r="J109" s="3">
        <v>187.19872199363286</v>
      </c>
      <c r="K109" s="3">
        <v>19.928656618695271</v>
      </c>
      <c r="L109" s="3">
        <v>15.62782832649191</v>
      </c>
      <c r="M109" s="3">
        <v>4.0606318497093765</v>
      </c>
      <c r="N109" s="3">
        <v>0.96408842515118764</v>
      </c>
      <c r="O109" s="3">
        <v>8.8270145101687127</v>
      </c>
      <c r="P109" s="3">
        <v>2.8357400349885533</v>
      </c>
      <c r="Q109" s="3">
        <v>4.534640378247726</v>
      </c>
      <c r="R109" s="3">
        <v>6.0670622659840978</v>
      </c>
      <c r="S109" s="3">
        <v>18.653504777935083</v>
      </c>
      <c r="T109" s="3">
        <v>42.942540715784226</v>
      </c>
      <c r="U109" s="3">
        <v>62.635149869796635</v>
      </c>
      <c r="V109" s="3">
        <v>762.85828258068761</v>
      </c>
      <c r="W109" s="3">
        <v>361.18067553010064</v>
      </c>
      <c r="X109" s="3">
        <v>537.8145398259793</v>
      </c>
      <c r="Y109" s="3">
        <v>9157.5808404765194</v>
      </c>
      <c r="Z109" s="3">
        <v>20.902816758743789</v>
      </c>
      <c r="AA109" s="3">
        <v>45.42906453602108</v>
      </c>
      <c r="AB109" s="3">
        <v>156.84825000000001</v>
      </c>
      <c r="AC109" s="3">
        <v>141.57365000000001</v>
      </c>
      <c r="AD109" s="3">
        <v>545.90654999999992</v>
      </c>
      <c r="AE109" s="3">
        <v>197.46090000000004</v>
      </c>
      <c r="AF109">
        <v>7.8</v>
      </c>
      <c r="AG109">
        <v>3.9</v>
      </c>
      <c r="AH109">
        <v>13.3</v>
      </c>
      <c r="AI109">
        <v>39.299999999999997</v>
      </c>
      <c r="AJ109">
        <v>95</v>
      </c>
      <c r="AK109">
        <v>32</v>
      </c>
      <c r="AL109">
        <v>33</v>
      </c>
      <c r="AM109">
        <v>0</v>
      </c>
      <c r="AN109">
        <v>66</v>
      </c>
      <c r="AO109">
        <v>3</v>
      </c>
      <c r="AP109">
        <v>0</v>
      </c>
      <c r="AQ109">
        <v>21</v>
      </c>
      <c r="AR109">
        <v>10</v>
      </c>
      <c r="AS109">
        <v>250</v>
      </c>
      <c r="AT109" s="7">
        <f t="shared" si="109"/>
        <v>514.79999999999995</v>
      </c>
      <c r="AU109">
        <f t="shared" si="110"/>
        <v>163.79999999999998</v>
      </c>
      <c r="AV109" s="8">
        <f t="shared" si="111"/>
        <v>785.71428571428567</v>
      </c>
      <c r="AW109" s="8">
        <f t="shared" si="112"/>
        <v>3.1428571428571428</v>
      </c>
    </row>
    <row r="110" spans="1:49" ht="23.4" hidden="1" x14ac:dyDescent="0.45">
      <c r="A110" s="2" t="s">
        <v>41</v>
      </c>
      <c r="B110" s="2" t="s">
        <v>27</v>
      </c>
      <c r="C110" s="2">
        <v>25</v>
      </c>
      <c r="D110" s="2"/>
      <c r="E110" s="2"/>
      <c r="F110" s="2" t="s">
        <v>211</v>
      </c>
      <c r="G110" s="2" t="s">
        <v>205</v>
      </c>
      <c r="H110" s="2" t="s">
        <v>207</v>
      </c>
      <c r="I110" s="2" t="s">
        <v>28</v>
      </c>
      <c r="J110" s="3">
        <v>141.59524612719949</v>
      </c>
      <c r="K110" s="3">
        <v>53.804452772434324</v>
      </c>
      <c r="L110" s="3">
        <v>2.185155165827561</v>
      </c>
      <c r="M110" s="3">
        <v>237.58358821955431</v>
      </c>
      <c r="N110" s="3">
        <v>0.15820000000000001</v>
      </c>
      <c r="O110" s="3">
        <v>24.37425245036145</v>
      </c>
      <c r="P110" s="3">
        <v>68.919123183701444</v>
      </c>
      <c r="Q110" s="3">
        <v>37.231167139507008</v>
      </c>
      <c r="R110" s="3">
        <v>0.1729</v>
      </c>
      <c r="S110" s="3">
        <v>0.78733494000236892</v>
      </c>
      <c r="T110" s="3">
        <v>59.811627266684177</v>
      </c>
      <c r="U110" s="3">
        <v>95.125854885842742</v>
      </c>
      <c r="V110" s="3">
        <v>41.35288601865669</v>
      </c>
      <c r="W110" s="3">
        <v>5592.5933907991275</v>
      </c>
      <c r="X110" s="3">
        <v>63.973359497123397</v>
      </c>
      <c r="Y110" s="3">
        <v>362.56637017854672</v>
      </c>
      <c r="Z110" s="3">
        <v>0.25900000000000001</v>
      </c>
      <c r="AA110" s="3">
        <v>11.660210650078</v>
      </c>
      <c r="AB110" s="3">
        <v>56.165141231440046</v>
      </c>
      <c r="AC110" s="3">
        <v>10.77767326302998</v>
      </c>
      <c r="AD110" s="3">
        <v>4.0027148273408759</v>
      </c>
      <c r="AE110" s="3">
        <v>17.011494252873565</v>
      </c>
    </row>
    <row r="111" spans="1:49" ht="23.4" hidden="1" x14ac:dyDescent="0.45">
      <c r="A111" s="2" t="s">
        <v>42</v>
      </c>
      <c r="B111" s="2" t="s">
        <v>27</v>
      </c>
      <c r="C111" s="2">
        <v>25</v>
      </c>
      <c r="D111" s="2"/>
      <c r="E111" s="2"/>
      <c r="F111" s="2" t="s">
        <v>211</v>
      </c>
      <c r="G111" s="2" t="s">
        <v>205</v>
      </c>
      <c r="H111" s="2" t="s">
        <v>207</v>
      </c>
      <c r="I111" s="2" t="s">
        <v>30</v>
      </c>
      <c r="J111" s="3">
        <v>69.582457463007941</v>
      </c>
      <c r="K111" s="3">
        <v>9.1804902666638828</v>
      </c>
      <c r="L111" s="3">
        <v>9.8541182421090525</v>
      </c>
      <c r="M111" s="3">
        <v>5280.555211199633</v>
      </c>
      <c r="N111" s="3">
        <v>1.8988598911340373</v>
      </c>
      <c r="O111" s="3">
        <v>5.2737797974784053</v>
      </c>
      <c r="P111" s="3">
        <v>185.92808639428185</v>
      </c>
      <c r="Q111" s="3">
        <v>143.53747763208929</v>
      </c>
      <c r="R111" s="3">
        <v>1.4422943067757985</v>
      </c>
      <c r="S111" s="3">
        <v>5.3673858807437913</v>
      </c>
      <c r="T111" s="3">
        <v>69.047281133457261</v>
      </c>
      <c r="U111" s="3">
        <v>748.18571332438705</v>
      </c>
      <c r="V111" s="3">
        <v>1755.7231678882863</v>
      </c>
      <c r="W111" s="3">
        <v>22303.774696923902</v>
      </c>
      <c r="X111" s="3">
        <v>27.892886737377694</v>
      </c>
      <c r="Y111" s="3">
        <v>37309.446532165246</v>
      </c>
      <c r="Z111" s="3">
        <v>40.301933524035036</v>
      </c>
      <c r="AA111" s="3">
        <v>49.082475832479645</v>
      </c>
      <c r="AB111" s="3">
        <v>11.909316483435912</v>
      </c>
      <c r="AC111" s="3">
        <v>16.116881135796056</v>
      </c>
      <c r="AD111" s="3">
        <v>6.010457073845509</v>
      </c>
      <c r="AE111" s="3">
        <v>4.4578313253012043</v>
      </c>
    </row>
    <row r="112" spans="1:49" ht="23.4" hidden="1" x14ac:dyDescent="0.45">
      <c r="A112" s="2" t="s">
        <v>100</v>
      </c>
      <c r="B112" s="2" t="s">
        <v>86</v>
      </c>
      <c r="C112" s="2">
        <v>25</v>
      </c>
      <c r="D112" s="2"/>
      <c r="E112" s="2"/>
      <c r="F112" s="2" t="s">
        <v>211</v>
      </c>
      <c r="G112" s="2" t="s">
        <v>205</v>
      </c>
      <c r="H112" s="2" t="s">
        <v>207</v>
      </c>
      <c r="I112" s="2" t="s">
        <v>28</v>
      </c>
      <c r="J112" s="3">
        <v>297.54245730846799</v>
      </c>
      <c r="K112" s="3">
        <v>11.934125726580055</v>
      </c>
      <c r="L112" s="3">
        <v>4.488377994416207</v>
      </c>
      <c r="M112" s="3">
        <v>1.5567123702762751</v>
      </c>
      <c r="N112" s="3">
        <v>0.44443679007128889</v>
      </c>
      <c r="O112" s="3">
        <v>2.7245502184747039</v>
      </c>
      <c r="P112" s="3">
        <v>0.37118036281697026</v>
      </c>
      <c r="Q112" s="3">
        <v>2.2183990816320853</v>
      </c>
      <c r="R112" s="3">
        <v>2.5709508906717811</v>
      </c>
      <c r="S112" s="3">
        <v>4.4289986657651177</v>
      </c>
      <c r="T112" s="3">
        <v>47.983762820581831</v>
      </c>
      <c r="U112" s="3">
        <v>18.735589990354672</v>
      </c>
      <c r="V112" s="3">
        <v>423.06649432516002</v>
      </c>
      <c r="W112" s="3">
        <v>336.86077122644332</v>
      </c>
      <c r="X112" s="3">
        <v>398.14477991798117</v>
      </c>
      <c r="Y112" s="3">
        <v>2826.2957924079301</v>
      </c>
      <c r="Z112" s="3">
        <v>27.799926163934334</v>
      </c>
      <c r="AA112" s="3">
        <v>24.587883112989875</v>
      </c>
      <c r="AB112" s="3">
        <v>97.870499999999993</v>
      </c>
      <c r="AC112" s="3">
        <v>422.01669999999996</v>
      </c>
      <c r="AD112" s="3">
        <v>277.28190000000001</v>
      </c>
      <c r="AE112" s="3">
        <v>197.48820000000001</v>
      </c>
      <c r="AF112">
        <v>6.1</v>
      </c>
      <c r="AG112">
        <v>5.28</v>
      </c>
      <c r="AH112">
        <v>15.4</v>
      </c>
      <c r="AI112">
        <v>46.7</v>
      </c>
      <c r="AJ112">
        <v>89</v>
      </c>
      <c r="AK112">
        <v>29.1</v>
      </c>
      <c r="AL112">
        <v>32.9</v>
      </c>
      <c r="AM112">
        <v>0</v>
      </c>
      <c r="AN112">
        <v>57</v>
      </c>
      <c r="AO112">
        <v>3</v>
      </c>
      <c r="AP112">
        <v>1</v>
      </c>
      <c r="AQ112">
        <v>29</v>
      </c>
      <c r="AR112">
        <v>10</v>
      </c>
      <c r="AS112">
        <v>169</v>
      </c>
      <c r="AT112" s="7">
        <f t="shared" ref="AT112" si="113">AN112*AF112</f>
        <v>347.7</v>
      </c>
      <c r="AU112">
        <f t="shared" ref="AU112" si="114">AQ112*AF112</f>
        <v>176.89999999999998</v>
      </c>
      <c r="AV112" s="8">
        <f t="shared" ref="AV112" si="115">(AS112*AT112)/AU112</f>
        <v>332.17241379310349</v>
      </c>
      <c r="AW112" s="8">
        <f t="shared" ref="AW112" si="116">AT112/AU112</f>
        <v>1.9655172413793105</v>
      </c>
    </row>
    <row r="113" spans="1:49" ht="23.4" hidden="1" x14ac:dyDescent="0.45">
      <c r="A113" s="2" t="s">
        <v>101</v>
      </c>
      <c r="B113" s="2" t="s">
        <v>86</v>
      </c>
      <c r="C113" s="2">
        <v>25</v>
      </c>
      <c r="D113" s="2"/>
      <c r="E113" s="2"/>
      <c r="F113" s="2" t="s">
        <v>211</v>
      </c>
      <c r="G113" s="2" t="s">
        <v>205</v>
      </c>
      <c r="H113" s="2" t="s">
        <v>207</v>
      </c>
      <c r="I113" s="2" t="s">
        <v>30</v>
      </c>
      <c r="J113" s="3">
        <v>245.9332077808439</v>
      </c>
      <c r="K113" s="3">
        <v>43.430463401863314</v>
      </c>
      <c r="L113" s="3">
        <v>32.29708592405823</v>
      </c>
      <c r="M113" s="3">
        <v>69.55887205948396</v>
      </c>
      <c r="N113" s="3">
        <v>3.4975899134926847</v>
      </c>
      <c r="O113" s="3">
        <v>24.512306334560517</v>
      </c>
      <c r="P113" s="3">
        <v>14.750455224354178</v>
      </c>
      <c r="Q113" s="3">
        <v>24.440402223650754</v>
      </c>
      <c r="R113" s="3">
        <v>136.72900448269533</v>
      </c>
      <c r="S113" s="3">
        <v>36.734621823174578</v>
      </c>
      <c r="T113" s="3">
        <v>164.96978820409396</v>
      </c>
      <c r="U113" s="3">
        <v>51.300424979588016</v>
      </c>
      <c r="V113" s="3">
        <v>39985.597654045327</v>
      </c>
      <c r="W113" s="3">
        <v>978.12472242419824</v>
      </c>
      <c r="X113" s="3">
        <v>609.17205775315881</v>
      </c>
      <c r="Y113" s="3">
        <v>163000</v>
      </c>
      <c r="Z113" s="3">
        <v>86.512882854275773</v>
      </c>
      <c r="AA113" s="3">
        <v>230.35393179326152</v>
      </c>
      <c r="AB113" s="3">
        <v>382.91174999999998</v>
      </c>
      <c r="AC113" s="3">
        <v>219.29364999999996</v>
      </c>
      <c r="AD113" s="3">
        <v>9251.8156500000005</v>
      </c>
      <c r="AE113" s="3">
        <v>449.01675000000006</v>
      </c>
    </row>
    <row r="114" spans="1:49" ht="23.4" hidden="1" x14ac:dyDescent="0.45">
      <c r="A114" s="2" t="s">
        <v>43</v>
      </c>
      <c r="B114" s="2" t="s">
        <v>27</v>
      </c>
      <c r="C114" s="2">
        <v>26</v>
      </c>
      <c r="D114" s="2" t="s">
        <v>204</v>
      </c>
      <c r="E114" s="2"/>
      <c r="F114" s="2" t="s">
        <v>211</v>
      </c>
      <c r="G114" s="2" t="s">
        <v>205</v>
      </c>
      <c r="H114" s="2" t="s">
        <v>207</v>
      </c>
      <c r="I114" s="2" t="s">
        <v>28</v>
      </c>
      <c r="J114" s="3">
        <v>48.899866114326279</v>
      </c>
      <c r="K114" s="3">
        <v>21.279366079879967</v>
      </c>
      <c r="L114" s="3">
        <v>3.5073364784076024</v>
      </c>
      <c r="M114" s="3">
        <v>172.87484792737396</v>
      </c>
      <c r="N114" s="3">
        <v>0.85672531315989986</v>
      </c>
      <c r="O114" s="3">
        <v>3.9537381698457752</v>
      </c>
      <c r="P114" s="3">
        <v>272.08798317894019</v>
      </c>
      <c r="Q114" s="3">
        <v>168.79950653921171</v>
      </c>
      <c r="R114" s="3">
        <v>0.1729</v>
      </c>
      <c r="S114" s="3">
        <v>1.9818309983787306</v>
      </c>
      <c r="T114" s="3">
        <v>29.827420301935899</v>
      </c>
      <c r="U114" s="3">
        <v>96.804687024304599</v>
      </c>
      <c r="V114" s="3">
        <v>118.99426194962304</v>
      </c>
      <c r="W114" s="3">
        <v>12432.354465325481</v>
      </c>
      <c r="X114" s="3">
        <v>96.28656815314956</v>
      </c>
      <c r="Y114" s="3">
        <v>2059.4127847194827</v>
      </c>
      <c r="Z114" s="3">
        <v>15.734709232416284</v>
      </c>
      <c r="AA114" s="3">
        <v>4.7857130075322551</v>
      </c>
      <c r="AB114" s="3">
        <v>13.147301718458321</v>
      </c>
      <c r="AC114" s="3">
        <v>108.55124299038947</v>
      </c>
      <c r="AD114" s="3">
        <v>4.3187513235149</v>
      </c>
      <c r="AE114" s="3">
        <v>5.192982456140351</v>
      </c>
    </row>
    <row r="115" spans="1:49" ht="23.4" hidden="1" x14ac:dyDescent="0.45">
      <c r="A115" s="2" t="s">
        <v>44</v>
      </c>
      <c r="B115" s="2" t="s">
        <v>27</v>
      </c>
      <c r="C115" s="2">
        <v>26</v>
      </c>
      <c r="D115" s="2" t="s">
        <v>204</v>
      </c>
      <c r="E115" s="2"/>
      <c r="F115" s="2" t="s">
        <v>211</v>
      </c>
      <c r="G115" s="2" t="s">
        <v>205</v>
      </c>
      <c r="H115" s="2" t="s">
        <v>207</v>
      </c>
      <c r="I115" s="2" t="s">
        <v>30</v>
      </c>
      <c r="J115" s="3">
        <v>32.791610803862596</v>
      </c>
      <c r="K115" s="3">
        <v>7.6020195358502587</v>
      </c>
      <c r="L115" s="3">
        <v>3.4173443408068045</v>
      </c>
      <c r="M115" s="3">
        <v>254.80421635968227</v>
      </c>
      <c r="N115" s="3">
        <v>0.88742266883925869</v>
      </c>
      <c r="O115" s="3">
        <v>2.0256963676131168</v>
      </c>
      <c r="P115" s="3">
        <v>40.299867065887575</v>
      </c>
      <c r="Q115" s="3">
        <v>126.47438424468071</v>
      </c>
      <c r="R115" s="3">
        <v>0.77747389496275299</v>
      </c>
      <c r="S115" s="3">
        <v>2.3365833739166302</v>
      </c>
      <c r="T115" s="3">
        <v>20.629261611255036</v>
      </c>
      <c r="U115" s="3">
        <v>59.134228781468174</v>
      </c>
      <c r="V115" s="3">
        <v>7204.7717066022788</v>
      </c>
      <c r="W115" s="3">
        <v>8179.4952913238012</v>
      </c>
      <c r="X115" s="3">
        <v>26.579316499245262</v>
      </c>
      <c r="Y115" s="3">
        <v>16189.748292951232</v>
      </c>
      <c r="Z115" s="3">
        <v>20.637158459820586</v>
      </c>
      <c r="AA115" s="3">
        <v>6.6808051410958553</v>
      </c>
      <c r="AB115" s="3">
        <v>29.702207672564651</v>
      </c>
      <c r="AC115" s="3">
        <v>37.093042189867205</v>
      </c>
      <c r="AD115" s="3">
        <v>33.287646298498039</v>
      </c>
      <c r="AE115" s="3">
        <v>1.5107641074749789</v>
      </c>
    </row>
    <row r="116" spans="1:49" ht="23.4" hidden="1" x14ac:dyDescent="0.45">
      <c r="A116" s="2" t="s">
        <v>76</v>
      </c>
      <c r="B116" s="2" t="s">
        <v>27</v>
      </c>
      <c r="C116" s="2">
        <v>26</v>
      </c>
      <c r="D116" s="2" t="s">
        <v>204</v>
      </c>
      <c r="E116" s="2"/>
      <c r="F116" s="2" t="s">
        <v>211</v>
      </c>
      <c r="G116" s="2" t="s">
        <v>205</v>
      </c>
      <c r="H116" s="2" t="s">
        <v>207</v>
      </c>
      <c r="I116" s="2" t="s">
        <v>56</v>
      </c>
      <c r="J116" s="3">
        <v>46.320988536890546</v>
      </c>
      <c r="K116" s="3">
        <v>23.133366271201712</v>
      </c>
      <c r="L116" s="3">
        <v>1.4012911505675516</v>
      </c>
      <c r="M116" s="3">
        <v>1059.408401228512</v>
      </c>
      <c r="N116" s="3">
        <v>0.15820000000000001</v>
      </c>
      <c r="O116" s="3">
        <v>7.8325004076347131</v>
      </c>
      <c r="P116" s="3">
        <v>16.46343348789965</v>
      </c>
      <c r="Q116" s="3">
        <v>13.64234910151081</v>
      </c>
      <c r="R116" s="3">
        <v>0.1729</v>
      </c>
      <c r="S116" s="3">
        <v>0.24640000000000004</v>
      </c>
      <c r="T116" s="3">
        <v>45.988950205096373</v>
      </c>
      <c r="U116" s="3">
        <v>104.03243269020319</v>
      </c>
      <c r="V116" s="3">
        <v>673.48892399983959</v>
      </c>
      <c r="W116" s="3">
        <v>6522.9930552274445</v>
      </c>
      <c r="X116" s="3">
        <v>36.094746260065108</v>
      </c>
      <c r="Y116" s="3">
        <v>2854.2994780543841</v>
      </c>
      <c r="Z116" s="3">
        <v>13.875076767215653</v>
      </c>
      <c r="AA116" s="3">
        <v>9.409342165001183</v>
      </c>
      <c r="AB116" s="3">
        <v>16.682822497629623</v>
      </c>
      <c r="AC116" s="3">
        <v>7.3786076847597665E-2</v>
      </c>
      <c r="AD116" s="3">
        <v>16.235990459925485</v>
      </c>
      <c r="AE116" s="3">
        <v>65.694961805262267</v>
      </c>
    </row>
    <row r="117" spans="1:49" ht="23.4" hidden="1" x14ac:dyDescent="0.45">
      <c r="A117" s="2" t="s">
        <v>102</v>
      </c>
      <c r="B117" s="2" t="s">
        <v>86</v>
      </c>
      <c r="C117" s="2">
        <v>26</v>
      </c>
      <c r="D117" s="2" t="s">
        <v>204</v>
      </c>
      <c r="E117" s="2"/>
      <c r="F117" s="2" t="s">
        <v>211</v>
      </c>
      <c r="G117" s="2" t="s">
        <v>205</v>
      </c>
      <c r="H117" s="2" t="s">
        <v>207</v>
      </c>
      <c r="I117" s="2" t="s">
        <v>28</v>
      </c>
      <c r="J117" s="3">
        <v>164.88425774036989</v>
      </c>
      <c r="K117" s="3">
        <v>34.53271899985932</v>
      </c>
      <c r="L117" s="3">
        <v>6.0218081705813491</v>
      </c>
      <c r="M117" s="3">
        <v>1.9647262816024436</v>
      </c>
      <c r="N117" s="3">
        <v>0.4452642754127823</v>
      </c>
      <c r="O117" s="3">
        <v>6.6932008008858244</v>
      </c>
      <c r="P117" s="3">
        <v>1.9590369818810562</v>
      </c>
      <c r="Q117" s="3">
        <v>4.6186438762236444</v>
      </c>
      <c r="R117" s="3">
        <v>3.8493129522037064</v>
      </c>
      <c r="S117" s="3">
        <v>5.358666923300321</v>
      </c>
      <c r="T117" s="3">
        <v>14.90131771749809</v>
      </c>
      <c r="U117" s="3">
        <v>154.09300634894191</v>
      </c>
      <c r="V117" s="3">
        <v>641.96898092530944</v>
      </c>
      <c r="W117" s="3">
        <v>309.30645376675864</v>
      </c>
      <c r="X117" s="3">
        <v>646.92703913037633</v>
      </c>
      <c r="Y117" s="3">
        <v>3968.2125599412634</v>
      </c>
      <c r="Z117" s="3">
        <v>24.43853462804266</v>
      </c>
      <c r="AA117" s="3">
        <v>35.172619790660455</v>
      </c>
      <c r="AB117" s="3">
        <v>65.198250000000002</v>
      </c>
      <c r="AC117" s="3">
        <v>173.17059999999998</v>
      </c>
      <c r="AD117" s="3">
        <v>1207.10625</v>
      </c>
      <c r="AE117" s="3">
        <v>132.52785</v>
      </c>
      <c r="AF117">
        <v>4.8</v>
      </c>
      <c r="AG117">
        <v>4.68</v>
      </c>
      <c r="AH117">
        <v>13.9</v>
      </c>
      <c r="AI117">
        <v>42.2</v>
      </c>
      <c r="AJ117">
        <v>90</v>
      </c>
      <c r="AK117">
        <v>29.8</v>
      </c>
      <c r="AL117">
        <v>33.1</v>
      </c>
      <c r="AM117">
        <v>0</v>
      </c>
      <c r="AN117">
        <v>51</v>
      </c>
      <c r="AO117">
        <v>3</v>
      </c>
      <c r="AP117">
        <v>1</v>
      </c>
      <c r="AQ117">
        <v>34</v>
      </c>
      <c r="AR117">
        <v>11</v>
      </c>
      <c r="AS117">
        <v>226</v>
      </c>
      <c r="AT117" s="7">
        <f t="shared" ref="AT117:AT118" si="117">AN117*AF117</f>
        <v>244.79999999999998</v>
      </c>
      <c r="AU117">
        <f t="shared" ref="AU117:AU118" si="118">AQ117*AF117</f>
        <v>163.19999999999999</v>
      </c>
      <c r="AV117" s="8">
        <f t="shared" ref="AV117:AV118" si="119">(AS117*AT117)/AU117</f>
        <v>339</v>
      </c>
      <c r="AW117" s="8">
        <f t="shared" ref="AW117:AW118" si="120">AT117/AU117</f>
        <v>1.5</v>
      </c>
    </row>
    <row r="118" spans="1:49" ht="23.4" hidden="1" x14ac:dyDescent="0.45">
      <c r="A118" s="2" t="s">
        <v>103</v>
      </c>
      <c r="B118" s="2" t="s">
        <v>86</v>
      </c>
      <c r="C118" s="2">
        <v>26</v>
      </c>
      <c r="D118" s="2" t="s">
        <v>204</v>
      </c>
      <c r="E118" s="2"/>
      <c r="F118" s="2" t="s">
        <v>211</v>
      </c>
      <c r="G118" s="2" t="s">
        <v>205</v>
      </c>
      <c r="H118" s="2" t="s">
        <v>207</v>
      </c>
      <c r="I118" s="2" t="s">
        <v>30</v>
      </c>
      <c r="J118" s="3">
        <v>249.94512225756273</v>
      </c>
      <c r="K118" s="3">
        <v>22.575295778631347</v>
      </c>
      <c r="L118" s="3">
        <v>7.5144634695465973</v>
      </c>
      <c r="M118" s="3">
        <v>5.55556858691304</v>
      </c>
      <c r="N118" s="3">
        <v>0.79383699192251189</v>
      </c>
      <c r="O118" s="3">
        <v>8.8355374676630074</v>
      </c>
      <c r="P118" s="3">
        <v>1.4673738817983459</v>
      </c>
      <c r="Q118" s="3">
        <v>9.1317680467229945</v>
      </c>
      <c r="R118" s="3">
        <v>9.1298523688673967</v>
      </c>
      <c r="S118" s="3">
        <v>10.57015028706938</v>
      </c>
      <c r="T118" s="3">
        <v>14.90131771749809</v>
      </c>
      <c r="U118" s="3">
        <v>139.72309704721562</v>
      </c>
      <c r="V118" s="3">
        <v>1274.2433125786031</v>
      </c>
      <c r="W118" s="3">
        <v>557.7020529031339</v>
      </c>
      <c r="X118" s="3">
        <v>506.98927737365523</v>
      </c>
      <c r="Y118" s="3">
        <v>18411.54744585526</v>
      </c>
      <c r="Z118" s="3">
        <v>40.594976028018131</v>
      </c>
      <c r="AA118" s="3">
        <v>71.434159335645234</v>
      </c>
      <c r="AB118" s="3">
        <v>119.70075000000001</v>
      </c>
      <c r="AC118" s="3">
        <v>129.00794999999999</v>
      </c>
      <c r="AD118" s="3">
        <v>2394.7024499999998</v>
      </c>
      <c r="AE118" s="3">
        <v>253.87635</v>
      </c>
      <c r="AF118">
        <v>3.9</v>
      </c>
      <c r="AG118">
        <v>4.8600000000000003</v>
      </c>
      <c r="AH118">
        <v>14.2</v>
      </c>
      <c r="AI118">
        <v>43.1</v>
      </c>
      <c r="AJ118">
        <v>89</v>
      </c>
      <c r="AK118">
        <v>29.2</v>
      </c>
      <c r="AL118">
        <v>32.9</v>
      </c>
      <c r="AM118">
        <v>0</v>
      </c>
      <c r="AN118">
        <v>50</v>
      </c>
      <c r="AO118">
        <v>3</v>
      </c>
      <c r="AP118">
        <v>1</v>
      </c>
      <c r="AQ118">
        <v>31</v>
      </c>
      <c r="AR118">
        <v>15</v>
      </c>
      <c r="AS118">
        <v>240</v>
      </c>
      <c r="AT118" s="7">
        <f t="shared" si="117"/>
        <v>195</v>
      </c>
      <c r="AU118">
        <f t="shared" si="118"/>
        <v>120.89999999999999</v>
      </c>
      <c r="AV118" s="8">
        <f t="shared" si="119"/>
        <v>387.09677419354841</v>
      </c>
      <c r="AW118" s="8">
        <f t="shared" si="120"/>
        <v>1.6129032258064517</v>
      </c>
    </row>
    <row r="119" spans="1:49" ht="23.4" hidden="1" x14ac:dyDescent="0.45">
      <c r="A119" s="2" t="s">
        <v>45</v>
      </c>
      <c r="B119" s="2" t="s">
        <v>27</v>
      </c>
      <c r="C119" s="2">
        <v>27</v>
      </c>
      <c r="D119" s="2" t="s">
        <v>204</v>
      </c>
      <c r="E119" s="2" t="s">
        <v>210</v>
      </c>
      <c r="F119" s="2" t="s">
        <v>211</v>
      </c>
      <c r="G119" s="2" t="s">
        <v>205</v>
      </c>
      <c r="H119" s="2" t="s">
        <v>207</v>
      </c>
      <c r="I119" s="2" t="s">
        <v>28</v>
      </c>
      <c r="J119" s="3">
        <v>92.023964237068043</v>
      </c>
      <c r="K119" s="3">
        <v>27.992684493195728</v>
      </c>
      <c r="L119" s="3">
        <v>0.29899999999999999</v>
      </c>
      <c r="M119" s="3">
        <v>191.62225623458463</v>
      </c>
      <c r="N119" s="3">
        <v>0.15820000000000001</v>
      </c>
      <c r="O119" s="3">
        <v>18.419805101289835</v>
      </c>
      <c r="P119" s="3">
        <v>9.8302454731511464</v>
      </c>
      <c r="Q119" s="3">
        <v>16.88722083910142</v>
      </c>
      <c r="R119" s="3">
        <v>0.1729</v>
      </c>
      <c r="S119" s="3">
        <v>0.24640000000000004</v>
      </c>
      <c r="T119" s="3">
        <v>60.351840050777653</v>
      </c>
      <c r="U119" s="3">
        <v>17.825926946346989</v>
      </c>
      <c r="V119" s="3">
        <v>103.08476469586461</v>
      </c>
      <c r="W119" s="3">
        <v>4051.3380747269293</v>
      </c>
      <c r="X119" s="3">
        <v>48.976874020492524</v>
      </c>
      <c r="Y119" s="3">
        <v>232.65834299027034</v>
      </c>
      <c r="Z119" s="3">
        <v>0.25900000000000001</v>
      </c>
      <c r="AA119" s="3">
        <v>12.380689166201869</v>
      </c>
      <c r="AB119" s="3">
        <v>47.717468232341943</v>
      </c>
      <c r="AC119" s="3">
        <v>13.789081968876593</v>
      </c>
      <c r="AD119" s="3">
        <v>17.067303289864675</v>
      </c>
      <c r="AE119" s="3">
        <v>35.193959417295517</v>
      </c>
    </row>
    <row r="120" spans="1:49" ht="23.4" hidden="1" x14ac:dyDescent="0.45">
      <c r="A120" s="2" t="s">
        <v>77</v>
      </c>
      <c r="B120" s="2" t="s">
        <v>27</v>
      </c>
      <c r="C120" s="2">
        <v>27</v>
      </c>
      <c r="D120" s="2" t="s">
        <v>204</v>
      </c>
      <c r="E120" s="2" t="s">
        <v>210</v>
      </c>
      <c r="F120" s="2" t="s">
        <v>211</v>
      </c>
      <c r="G120" s="2" t="s">
        <v>205</v>
      </c>
      <c r="H120" s="2" t="s">
        <v>207</v>
      </c>
      <c r="I120" s="2" t="s">
        <v>56</v>
      </c>
      <c r="J120" s="3">
        <v>58.136435845064732</v>
      </c>
      <c r="K120" s="3">
        <v>6.1023633357120781</v>
      </c>
      <c r="L120" s="3">
        <v>1.0503232012541315</v>
      </c>
      <c r="M120" s="3">
        <v>181.71072040889106</v>
      </c>
      <c r="N120" s="3">
        <v>0.15820000000000001</v>
      </c>
      <c r="O120" s="3">
        <v>5.5277309449324452</v>
      </c>
      <c r="P120" s="3">
        <v>3.080383529726574</v>
      </c>
      <c r="Q120" s="3">
        <v>2.1165211528415102</v>
      </c>
      <c r="R120" s="3">
        <v>0.1729</v>
      </c>
      <c r="S120" s="3">
        <v>0.24640000000000004</v>
      </c>
      <c r="T120" s="3">
        <v>37.380291623837444</v>
      </c>
      <c r="U120" s="3">
        <v>8.1875791865622016</v>
      </c>
      <c r="V120" s="3">
        <v>147.92061867187491</v>
      </c>
      <c r="W120" s="3">
        <v>2419.7212750011754</v>
      </c>
      <c r="X120" s="3">
        <v>11.275967514929331</v>
      </c>
      <c r="Y120" s="3">
        <v>491.72802472638364</v>
      </c>
      <c r="Z120" s="3">
        <v>0.25900000000000001</v>
      </c>
      <c r="AA120" s="3">
        <v>3.7080010383485864</v>
      </c>
      <c r="AB120" s="3">
        <v>9.1998925510620886</v>
      </c>
      <c r="AC120" s="3">
        <v>5.530558614543693E-2</v>
      </c>
      <c r="AD120" s="3">
        <v>4.6709562282627921</v>
      </c>
      <c r="AE120" s="3">
        <v>8.1767955801104986</v>
      </c>
    </row>
    <row r="121" spans="1:49" ht="23.4" hidden="1" x14ac:dyDescent="0.45">
      <c r="A121" s="2" t="s">
        <v>104</v>
      </c>
      <c r="B121" s="2" t="s">
        <v>86</v>
      </c>
      <c r="C121" s="2">
        <v>27</v>
      </c>
      <c r="D121" s="2" t="s">
        <v>204</v>
      </c>
      <c r="E121" s="2" t="s">
        <v>210</v>
      </c>
      <c r="F121" s="2" t="s">
        <v>211</v>
      </c>
      <c r="G121" s="2" t="s">
        <v>205</v>
      </c>
      <c r="H121" s="2" t="s">
        <v>207</v>
      </c>
      <c r="I121" s="2" t="s">
        <v>28</v>
      </c>
      <c r="J121" s="3">
        <v>305.62902256085408</v>
      </c>
      <c r="K121" s="3">
        <v>6.1313010999571205</v>
      </c>
      <c r="L121" s="3">
        <v>15.294274628459045</v>
      </c>
      <c r="M121" s="3">
        <v>2.3477494406120911</v>
      </c>
      <c r="N121" s="3">
        <v>0.85013971675072353</v>
      </c>
      <c r="O121" s="3">
        <v>3.6240102298833983</v>
      </c>
      <c r="P121" s="3">
        <v>7.0626889481402397</v>
      </c>
      <c r="Q121" s="3">
        <v>6.3576794258786169</v>
      </c>
      <c r="R121" s="3">
        <v>9.820515913752164</v>
      </c>
      <c r="S121" s="3">
        <v>4.4289986657651177</v>
      </c>
      <c r="T121" s="3">
        <v>19.840954893829938</v>
      </c>
      <c r="U121" s="3">
        <v>62.634429715970363</v>
      </c>
      <c r="V121" s="3">
        <v>527.78235765547117</v>
      </c>
      <c r="W121" s="3">
        <v>686.13434449456952</v>
      </c>
      <c r="X121" s="3">
        <v>1300.5579851790189</v>
      </c>
      <c r="Y121" s="3">
        <v>8366.83586142272</v>
      </c>
      <c r="Z121" s="3">
        <v>23.472020763485567</v>
      </c>
      <c r="AA121" s="3">
        <v>74.058984206807949</v>
      </c>
      <c r="AB121" s="3">
        <v>153.19200000000001</v>
      </c>
      <c r="AC121" s="3">
        <v>18.530999999999999</v>
      </c>
      <c r="AD121" s="3">
        <v>582.32055000000003</v>
      </c>
      <c r="AE121" s="3">
        <v>163.34954999999999</v>
      </c>
      <c r="AF121">
        <v>4.5</v>
      </c>
      <c r="AG121">
        <v>4.08</v>
      </c>
      <c r="AH121">
        <v>11.5</v>
      </c>
      <c r="AI121">
        <v>36.9</v>
      </c>
      <c r="AJ121">
        <v>91</v>
      </c>
      <c r="AK121">
        <v>28.3</v>
      </c>
      <c r="AL121">
        <v>31.2</v>
      </c>
      <c r="AM121">
        <v>0</v>
      </c>
      <c r="AN121">
        <v>67</v>
      </c>
      <c r="AO121">
        <v>4</v>
      </c>
      <c r="AP121">
        <v>1</v>
      </c>
      <c r="AQ121">
        <v>15</v>
      </c>
      <c r="AR121">
        <v>13</v>
      </c>
      <c r="AS121">
        <v>109</v>
      </c>
      <c r="AT121" s="7">
        <f t="shared" ref="AT121" si="121">AN121*AF121</f>
        <v>301.5</v>
      </c>
      <c r="AU121">
        <f t="shared" ref="AU121" si="122">AQ121*AF121</f>
        <v>67.5</v>
      </c>
      <c r="AV121" s="8">
        <f t="shared" ref="AV121" si="123">(AS121*AT121)/AU121</f>
        <v>486.86666666666667</v>
      </c>
      <c r="AW121" s="8">
        <f t="shared" ref="AW121" si="124">AT121/AU121</f>
        <v>4.4666666666666668</v>
      </c>
    </row>
    <row r="122" spans="1:49" ht="23.4" hidden="1" x14ac:dyDescent="0.45">
      <c r="A122" s="2" t="s">
        <v>46</v>
      </c>
      <c r="B122" s="2" t="s">
        <v>27</v>
      </c>
      <c r="C122" s="2">
        <v>28</v>
      </c>
      <c r="D122" s="2" t="s">
        <v>204</v>
      </c>
      <c r="E122" s="2" t="s">
        <v>210</v>
      </c>
      <c r="F122" s="2" t="s">
        <v>211</v>
      </c>
      <c r="G122" s="2" t="s">
        <v>205</v>
      </c>
      <c r="H122" s="2" t="s">
        <v>207</v>
      </c>
      <c r="I122" s="2" t="s">
        <v>28</v>
      </c>
      <c r="J122" s="3">
        <v>131.58664879895173</v>
      </c>
      <c r="K122" s="3">
        <v>14.851044461440386</v>
      </c>
      <c r="L122" s="3">
        <v>1.7548476870184417</v>
      </c>
      <c r="M122" s="3">
        <v>906.5011482219104</v>
      </c>
      <c r="N122" s="3">
        <v>0.15820000000000001</v>
      </c>
      <c r="O122" s="3">
        <v>9.235562778764054</v>
      </c>
      <c r="P122" s="3">
        <v>8.9087843913644811</v>
      </c>
      <c r="Q122" s="3">
        <v>19.47923090110428</v>
      </c>
      <c r="R122" s="3">
        <v>0.1729</v>
      </c>
      <c r="S122" s="3">
        <v>0.63229052104805605</v>
      </c>
      <c r="T122" s="3">
        <v>62.453841082288406</v>
      </c>
      <c r="U122" s="3">
        <v>194.00863856929081</v>
      </c>
      <c r="V122" s="3">
        <v>42.822953322434707</v>
      </c>
      <c r="W122" s="3">
        <v>6309.8090730951508</v>
      </c>
      <c r="X122" s="3">
        <v>25.527142452474909</v>
      </c>
      <c r="Y122" s="3">
        <v>67.233636559655295</v>
      </c>
      <c r="Z122" s="3">
        <v>0.25900000000000001</v>
      </c>
      <c r="AA122" s="3">
        <v>6.9786721097593265</v>
      </c>
      <c r="AB122" s="3">
        <v>20.924152049830376</v>
      </c>
      <c r="AC122" s="3">
        <v>9.2402871621453067E-2</v>
      </c>
      <c r="AD122" s="3">
        <v>10.718149290889356</v>
      </c>
      <c r="AE122" s="3">
        <v>13.661538461538461</v>
      </c>
    </row>
    <row r="123" spans="1:49" ht="23.4" hidden="1" x14ac:dyDescent="0.45">
      <c r="A123" s="2" t="s">
        <v>47</v>
      </c>
      <c r="B123" s="2" t="s">
        <v>27</v>
      </c>
      <c r="C123" s="2">
        <v>28</v>
      </c>
      <c r="D123" s="2" t="s">
        <v>204</v>
      </c>
      <c r="E123" s="2" t="s">
        <v>210</v>
      </c>
      <c r="F123" s="2" t="s">
        <v>211</v>
      </c>
      <c r="G123" s="2" t="s">
        <v>205</v>
      </c>
      <c r="H123" s="2" t="s">
        <v>207</v>
      </c>
      <c r="I123" s="2" t="s">
        <v>30</v>
      </c>
      <c r="J123" s="3">
        <v>184.12009264351769</v>
      </c>
      <c r="K123" s="3">
        <v>17.540483450845816</v>
      </c>
      <c r="L123" s="3">
        <v>21.505320593047621</v>
      </c>
      <c r="M123" s="3">
        <v>1649.0276626250757</v>
      </c>
      <c r="N123" s="3">
        <v>3.7491536745921619</v>
      </c>
      <c r="O123" s="3">
        <v>21.795372109080876</v>
      </c>
      <c r="P123" s="3">
        <v>39.001645701801422</v>
      </c>
      <c r="Q123" s="3">
        <v>1293.6386437855931</v>
      </c>
      <c r="R123" s="3">
        <v>2.2544866695250918</v>
      </c>
      <c r="S123" s="3">
        <v>10.093465604506941</v>
      </c>
      <c r="T123" s="3">
        <v>120.76567377288646</v>
      </c>
      <c r="U123" s="3">
        <v>150.54489554223969</v>
      </c>
      <c r="V123" s="3">
        <v>14819.942705286765</v>
      </c>
      <c r="W123" s="3">
        <v>5366.0214676381283</v>
      </c>
      <c r="X123" s="3">
        <v>529.74791686691754</v>
      </c>
      <c r="Y123" s="3">
        <v>44937.99852841979</v>
      </c>
      <c r="Z123" s="3">
        <v>85.877672155911526</v>
      </c>
      <c r="AA123" s="3">
        <v>34.875192478692689</v>
      </c>
      <c r="AB123" s="3">
        <v>388.63697861356468</v>
      </c>
      <c r="AC123" s="3">
        <v>224.89713425846108</v>
      </c>
      <c r="AD123" s="3">
        <v>69.441879223700923</v>
      </c>
      <c r="AE123" s="3">
        <v>18.42323651452282</v>
      </c>
    </row>
    <row r="124" spans="1:49" ht="23.4" hidden="1" x14ac:dyDescent="0.45">
      <c r="A124" s="2" t="s">
        <v>105</v>
      </c>
      <c r="B124" s="2" t="s">
        <v>86</v>
      </c>
      <c r="C124" s="2">
        <v>28</v>
      </c>
      <c r="D124" s="2" t="s">
        <v>204</v>
      </c>
      <c r="E124" s="2" t="s">
        <v>210</v>
      </c>
      <c r="F124" s="2" t="s">
        <v>211</v>
      </c>
      <c r="G124" s="2" t="s">
        <v>205</v>
      </c>
      <c r="H124" s="2" t="s">
        <v>207</v>
      </c>
      <c r="I124" s="2" t="s">
        <v>28</v>
      </c>
      <c r="J124" s="3">
        <v>186.35743973997037</v>
      </c>
      <c r="K124" s="3">
        <v>23.900484778168646</v>
      </c>
      <c r="L124" s="3">
        <v>60.333611302861442</v>
      </c>
      <c r="M124" s="3">
        <v>10.901964102203815</v>
      </c>
      <c r="N124" s="3">
        <v>5.5655674691513282</v>
      </c>
      <c r="O124" s="3">
        <v>2.2784</v>
      </c>
      <c r="P124" s="3">
        <v>3.2331201785172077</v>
      </c>
      <c r="Q124" s="3">
        <v>3.6976682122801909</v>
      </c>
      <c r="R124" s="3">
        <v>60.158050645500353</v>
      </c>
      <c r="S124" s="3">
        <v>54.416016493728499</v>
      </c>
      <c r="T124" s="3">
        <v>12.099145728832074</v>
      </c>
      <c r="U124" s="3">
        <v>53.42251185461857</v>
      </c>
      <c r="V124" s="3">
        <v>464.08374277085051</v>
      </c>
      <c r="W124" s="3">
        <v>468.62056446255917</v>
      </c>
      <c r="X124" s="3">
        <v>522.92529002785352</v>
      </c>
      <c r="Y124" s="3">
        <v>4067.4541295155304</v>
      </c>
      <c r="Z124" s="3">
        <v>52.253048276525412</v>
      </c>
      <c r="AA124" s="3">
        <v>30.168522028188598</v>
      </c>
      <c r="AB124" s="3">
        <v>99.069749999999999</v>
      </c>
      <c r="AC124" s="3">
        <v>43.584099999999992</v>
      </c>
      <c r="AD124" s="3">
        <v>456.33524999999997</v>
      </c>
      <c r="AE124" s="3">
        <v>83.03295</v>
      </c>
      <c r="AF124">
        <v>8.1999999999999993</v>
      </c>
      <c r="AG124">
        <v>4.4800000000000004</v>
      </c>
      <c r="AH124">
        <v>14.2</v>
      </c>
      <c r="AI124">
        <v>41.7</v>
      </c>
      <c r="AJ124">
        <v>93</v>
      </c>
      <c r="AK124">
        <v>31.7</v>
      </c>
      <c r="AL124">
        <v>34</v>
      </c>
      <c r="AM124">
        <v>0</v>
      </c>
      <c r="AN124">
        <v>77</v>
      </c>
      <c r="AO124">
        <v>3</v>
      </c>
      <c r="AP124">
        <v>1</v>
      </c>
      <c r="AQ124">
        <v>11</v>
      </c>
      <c r="AR124">
        <v>8</v>
      </c>
      <c r="AS124" s="10">
        <v>201</v>
      </c>
      <c r="AT124" s="10">
        <f t="shared" ref="AT124:AT125" si="125">AN124*AF124</f>
        <v>631.4</v>
      </c>
      <c r="AU124" s="10">
        <f t="shared" ref="AU124:AU125" si="126">AQ124*AF124</f>
        <v>90.199999999999989</v>
      </c>
      <c r="AV124" s="8">
        <f t="shared" ref="AV124:AV125" si="127">(AS124*AT124)/AU124</f>
        <v>1407</v>
      </c>
      <c r="AW124" s="10">
        <f>AT124/AU124</f>
        <v>7.0000000000000009</v>
      </c>
    </row>
    <row r="125" spans="1:49" ht="23.4" hidden="1" x14ac:dyDescent="0.45">
      <c r="A125" s="2" t="s">
        <v>106</v>
      </c>
      <c r="B125" s="2" t="s">
        <v>86</v>
      </c>
      <c r="C125" s="2">
        <v>28</v>
      </c>
      <c r="D125" s="2" t="s">
        <v>204</v>
      </c>
      <c r="E125" s="2" t="s">
        <v>210</v>
      </c>
      <c r="F125" s="2" t="s">
        <v>211</v>
      </c>
      <c r="G125" s="2" t="s">
        <v>205</v>
      </c>
      <c r="H125" s="2" t="s">
        <v>207</v>
      </c>
      <c r="I125" s="2" t="s">
        <v>30</v>
      </c>
      <c r="J125" s="3">
        <v>124.51277697294186</v>
      </c>
      <c r="K125" s="3">
        <v>43.927395047729696</v>
      </c>
      <c r="L125" s="3">
        <v>24.612098576030057</v>
      </c>
      <c r="M125" s="3">
        <v>5.3270109231815903</v>
      </c>
      <c r="N125" s="3">
        <v>2.235326776244309</v>
      </c>
      <c r="O125" s="3">
        <v>2.2784</v>
      </c>
      <c r="P125" s="3">
        <v>3.4287059789284182</v>
      </c>
      <c r="Q125" s="3">
        <v>4.0950161773255624</v>
      </c>
      <c r="R125" s="3">
        <v>20.883986742112945</v>
      </c>
      <c r="S125" s="3">
        <v>9.72310724442519</v>
      </c>
      <c r="T125" s="3">
        <v>9.2969737401661448</v>
      </c>
      <c r="U125" s="3">
        <v>40.701606832006796</v>
      </c>
      <c r="V125" s="3">
        <v>452.21552202427063</v>
      </c>
      <c r="W125" s="3">
        <v>555.91840813378167</v>
      </c>
      <c r="X125" s="3">
        <v>514.30139518771409</v>
      </c>
      <c r="Y125" s="3">
        <v>4048.2557146580189</v>
      </c>
      <c r="Z125" s="3">
        <v>29.440145416006459</v>
      </c>
      <c r="AA125" s="3">
        <v>27.660674813160725</v>
      </c>
      <c r="AB125" s="3">
        <v>112.29075</v>
      </c>
      <c r="AC125" s="3">
        <v>599.2603499999999</v>
      </c>
      <c r="AD125" s="3">
        <v>703.53989999999999</v>
      </c>
      <c r="AE125" s="3">
        <v>64.264200000000002</v>
      </c>
      <c r="AF125">
        <v>8.9</v>
      </c>
      <c r="AG125">
        <v>4.6399999999999997</v>
      </c>
      <c r="AH125">
        <v>14</v>
      </c>
      <c r="AI125">
        <v>41.5</v>
      </c>
      <c r="AJ125">
        <v>89</v>
      </c>
      <c r="AK125">
        <v>30.8</v>
      </c>
      <c r="AL125">
        <v>34.5</v>
      </c>
      <c r="AM125">
        <v>0</v>
      </c>
      <c r="AN125">
        <v>83</v>
      </c>
      <c r="AO125">
        <v>2</v>
      </c>
      <c r="AP125">
        <v>1</v>
      </c>
      <c r="AQ125">
        <v>7</v>
      </c>
      <c r="AR125">
        <v>7</v>
      </c>
      <c r="AS125" s="10">
        <v>185</v>
      </c>
      <c r="AT125" s="10">
        <f t="shared" si="125"/>
        <v>738.7</v>
      </c>
      <c r="AU125" s="10">
        <f t="shared" si="126"/>
        <v>62.300000000000004</v>
      </c>
      <c r="AV125" s="8">
        <f t="shared" si="127"/>
        <v>2193.5714285714284</v>
      </c>
      <c r="AW125" s="10">
        <f>AT125/AU125</f>
        <v>11.857142857142858</v>
      </c>
    </row>
    <row r="126" spans="1:49" ht="23.4" hidden="1" x14ac:dyDescent="0.45">
      <c r="A126" s="2" t="s">
        <v>48</v>
      </c>
      <c r="B126" s="2" t="s">
        <v>27</v>
      </c>
      <c r="C126" s="2">
        <v>29</v>
      </c>
      <c r="D126" s="2"/>
      <c r="E126" s="2"/>
      <c r="F126" s="2" t="s">
        <v>211</v>
      </c>
      <c r="G126" s="2" t="s">
        <v>214</v>
      </c>
      <c r="H126" s="2" t="s">
        <v>207</v>
      </c>
      <c r="I126" s="2" t="s">
        <v>28</v>
      </c>
      <c r="J126" s="3">
        <v>49.532735141222801</v>
      </c>
      <c r="K126" s="3">
        <v>63.253043222371581</v>
      </c>
      <c r="L126" s="3">
        <v>0.29899999999999999</v>
      </c>
      <c r="M126" s="3">
        <v>7901.4228513686894</v>
      </c>
      <c r="N126" s="3">
        <v>0.15820000000000001</v>
      </c>
      <c r="O126" s="3">
        <v>18.528135204310601</v>
      </c>
      <c r="P126" s="3">
        <v>9.8000000000000004E-2</v>
      </c>
      <c r="Q126" s="3">
        <v>22.680183461300189</v>
      </c>
      <c r="R126" s="3">
        <v>0.1729</v>
      </c>
      <c r="S126" s="3">
        <v>1.2684840700038165</v>
      </c>
      <c r="T126" s="3">
        <v>86.180895330133097</v>
      </c>
      <c r="U126" s="3">
        <v>22.610881263454033</v>
      </c>
      <c r="V126" s="3">
        <v>34.547447206605725</v>
      </c>
      <c r="W126" s="3">
        <v>3561.1248602178712</v>
      </c>
      <c r="X126" s="3">
        <v>26.001372083437076</v>
      </c>
      <c r="Y126" s="3">
        <v>261.9463768665085</v>
      </c>
      <c r="Z126" s="3">
        <v>0.25900000000000001</v>
      </c>
      <c r="AA126" s="3">
        <v>14.000422442418397</v>
      </c>
      <c r="AB126" s="3">
        <v>43.953448176249942</v>
      </c>
      <c r="AC126" s="3">
        <v>0.18537613133933487</v>
      </c>
      <c r="AD126" s="3">
        <v>1.0497521375006067</v>
      </c>
      <c r="AE126" s="3">
        <v>28.656496952274601</v>
      </c>
    </row>
    <row r="127" spans="1:49" ht="23.4" hidden="1" x14ac:dyDescent="0.45">
      <c r="A127" s="2" t="s">
        <v>49</v>
      </c>
      <c r="B127" s="2" t="s">
        <v>27</v>
      </c>
      <c r="C127" s="2">
        <v>29</v>
      </c>
      <c r="D127" s="2"/>
      <c r="E127" s="2"/>
      <c r="F127" s="2" t="s">
        <v>211</v>
      </c>
      <c r="G127" s="2" t="s">
        <v>214</v>
      </c>
      <c r="H127" s="2" t="s">
        <v>207</v>
      </c>
      <c r="I127" s="2" t="s">
        <v>30</v>
      </c>
      <c r="J127" s="3">
        <v>69.36054379825903</v>
      </c>
      <c r="K127" s="3">
        <v>19.54063512362502</v>
      </c>
      <c r="L127" s="3">
        <v>5.510781453756664</v>
      </c>
      <c r="M127" s="3">
        <v>105.62964494896511</v>
      </c>
      <c r="N127" s="3">
        <v>1.953573821756325</v>
      </c>
      <c r="O127" s="3">
        <v>6.2304146962680242</v>
      </c>
      <c r="P127" s="3">
        <v>78.187780278352903</v>
      </c>
      <c r="Q127" s="3">
        <v>658.00683590595736</v>
      </c>
      <c r="R127" s="3">
        <v>24.542233888177574</v>
      </c>
      <c r="S127" s="3">
        <v>3.6114330738888092</v>
      </c>
      <c r="T127" s="3">
        <v>23.235762466159002</v>
      </c>
      <c r="U127" s="3">
        <v>40.308077702730927</v>
      </c>
      <c r="V127" s="3">
        <v>11032.492116013682</v>
      </c>
      <c r="W127" s="3">
        <v>5265.0551053968793</v>
      </c>
      <c r="X127" s="3">
        <v>96.034103598250169</v>
      </c>
      <c r="Y127" s="3">
        <v>47110.029550285908</v>
      </c>
      <c r="Z127" s="3">
        <v>18.964290843244825</v>
      </c>
      <c r="AA127" s="3">
        <v>63.906819055078181</v>
      </c>
      <c r="AB127" s="3">
        <v>51.818176028852164</v>
      </c>
      <c r="AC127" s="3">
        <v>109.40457661747242</v>
      </c>
      <c r="AD127" s="3">
        <v>75.844865103260375</v>
      </c>
      <c r="AE127" s="3">
        <v>58.523577960682957</v>
      </c>
    </row>
    <row r="128" spans="1:49" ht="23.4" hidden="1" x14ac:dyDescent="0.45">
      <c r="A128" s="2" t="s">
        <v>107</v>
      </c>
      <c r="B128" s="2" t="s">
        <v>86</v>
      </c>
      <c r="C128" s="2">
        <v>29</v>
      </c>
      <c r="D128" s="2"/>
      <c r="E128" s="2"/>
      <c r="F128" s="2" t="s">
        <v>211</v>
      </c>
      <c r="G128" s="2" t="s">
        <v>214</v>
      </c>
      <c r="H128" s="2" t="s">
        <v>207</v>
      </c>
      <c r="I128" s="2" t="s">
        <v>30</v>
      </c>
      <c r="J128" s="3">
        <v>247.0342762475552</v>
      </c>
      <c r="K128" s="3">
        <v>8.2454384246390564</v>
      </c>
      <c r="L128" s="3">
        <v>13.227088820552554</v>
      </c>
      <c r="M128" s="3">
        <v>2.0945416678977873</v>
      </c>
      <c r="N128" s="3">
        <v>0.41562510243733786</v>
      </c>
      <c r="O128" s="3">
        <v>2.2759255006063568</v>
      </c>
      <c r="P128" s="3">
        <v>2.0288839404574674</v>
      </c>
      <c r="Q128" s="3">
        <v>6.3154521848753209</v>
      </c>
      <c r="R128" s="3">
        <v>14.333101306685947</v>
      </c>
      <c r="S128" s="3">
        <v>5.358666923300321</v>
      </c>
      <c r="T128" s="3">
        <v>37.955818767506017</v>
      </c>
      <c r="U128" s="3">
        <v>99.994087055497815</v>
      </c>
      <c r="V128" s="3">
        <v>464.54383782264711</v>
      </c>
      <c r="W128" s="3">
        <v>915.25550632783211</v>
      </c>
      <c r="X128" s="3">
        <v>668.1267011495886</v>
      </c>
      <c r="Y128" s="3">
        <v>3285.7731464704507</v>
      </c>
      <c r="Z128" s="3">
        <v>13.544144918866541</v>
      </c>
      <c r="AA128" s="3">
        <v>28.218496840385949</v>
      </c>
      <c r="AB128" s="3">
        <v>75.5625</v>
      </c>
      <c r="AC128" s="3">
        <v>28.901399999999995</v>
      </c>
      <c r="AD128" s="3">
        <v>472.65014999999994</v>
      </c>
      <c r="AE128" s="3">
        <v>251.43299999999999</v>
      </c>
    </row>
    <row r="129" spans="1:49" ht="23.4" hidden="1" x14ac:dyDescent="0.45">
      <c r="A129" s="2" t="s">
        <v>108</v>
      </c>
      <c r="B129" s="2" t="s">
        <v>86</v>
      </c>
      <c r="C129" s="2">
        <v>29</v>
      </c>
      <c r="D129" s="2"/>
      <c r="E129" s="2"/>
      <c r="F129" s="2" t="s">
        <v>211</v>
      </c>
      <c r="G129" s="2" t="s">
        <v>214</v>
      </c>
      <c r="H129" s="2" t="s">
        <v>207</v>
      </c>
      <c r="I129" s="2" t="s">
        <v>30</v>
      </c>
      <c r="J129" s="3">
        <v>174.50779597226659</v>
      </c>
      <c r="K129" s="3">
        <v>11.024697520626336</v>
      </c>
      <c r="L129" s="3">
        <v>11.792960757649745</v>
      </c>
      <c r="M129" s="3">
        <v>2.7290770405559432</v>
      </c>
      <c r="N129" s="3">
        <v>0.4452642754127823</v>
      </c>
      <c r="O129" s="3">
        <v>2.2759255006063568</v>
      </c>
      <c r="P129" s="3">
        <v>2.0980790429759448</v>
      </c>
      <c r="Q129" s="3">
        <v>6.3152170846703068</v>
      </c>
      <c r="R129" s="3">
        <v>12.978348209616433</v>
      </c>
      <c r="S129" s="3">
        <v>5.358666923300321</v>
      </c>
      <c r="T129" s="3">
        <v>33.645763062111719</v>
      </c>
      <c r="U129" s="3">
        <v>121.97769441911242</v>
      </c>
      <c r="V129" s="3">
        <v>808.86437103058449</v>
      </c>
      <c r="W129" s="3">
        <v>1105.2664581412316</v>
      </c>
      <c r="X129" s="3">
        <v>615.33122089562062</v>
      </c>
      <c r="Y129" s="3">
        <v>5514.2257857403156</v>
      </c>
      <c r="Z129" s="3">
        <v>15.484802433790078</v>
      </c>
      <c r="AA129" s="3">
        <v>32.116921854741854</v>
      </c>
      <c r="AB129" s="3">
        <v>65.578500000000005</v>
      </c>
      <c r="AC129" s="3">
        <v>58.060899999999997</v>
      </c>
      <c r="AD129" s="3">
        <v>323.76329999999996</v>
      </c>
      <c r="AE129" s="3">
        <v>225.3888</v>
      </c>
    </row>
    <row r="130" spans="1:49" ht="23.4" hidden="1" x14ac:dyDescent="0.45">
      <c r="A130" s="2" t="s">
        <v>50</v>
      </c>
      <c r="B130" s="2" t="s">
        <v>27</v>
      </c>
      <c r="C130" s="2">
        <v>30</v>
      </c>
      <c r="D130" s="2" t="s">
        <v>205</v>
      </c>
      <c r="E130" s="2"/>
      <c r="F130" s="2" t="s">
        <v>211</v>
      </c>
      <c r="G130" s="2" t="s">
        <v>205</v>
      </c>
      <c r="H130" s="2" t="s">
        <v>207</v>
      </c>
      <c r="I130" s="2" t="s">
        <v>28</v>
      </c>
      <c r="J130" s="3">
        <v>21.420448159635878</v>
      </c>
      <c r="K130" s="3">
        <v>3.8249967198176682</v>
      </c>
      <c r="L130" s="3">
        <v>0.86282223643115497</v>
      </c>
      <c r="M130" s="3">
        <v>173.46074352185047</v>
      </c>
      <c r="N130" s="3">
        <v>0.15820000000000001</v>
      </c>
      <c r="O130" s="3">
        <v>3.0924230799406343</v>
      </c>
      <c r="P130" s="3">
        <v>29.957577706966447</v>
      </c>
      <c r="Q130" s="3">
        <v>24.25699285272043</v>
      </c>
      <c r="R130" s="3">
        <v>0.1729</v>
      </c>
      <c r="S130" s="3">
        <v>0.31088414423694144</v>
      </c>
      <c r="T130" s="3">
        <v>23.511801303708122</v>
      </c>
      <c r="U130" s="3">
        <v>56.200668720334363</v>
      </c>
      <c r="V130" s="3">
        <v>46.557208723340736</v>
      </c>
      <c r="W130" s="3">
        <v>2048.7720259711855</v>
      </c>
      <c r="X130" s="3">
        <v>13.986217397469066</v>
      </c>
      <c r="Y130" s="3">
        <v>2199.9377591549819</v>
      </c>
      <c r="Z130" s="3">
        <v>0.25900000000000001</v>
      </c>
      <c r="AA130" s="3">
        <v>3.8209691223981568</v>
      </c>
      <c r="AB130" s="3">
        <v>10.800836838461525</v>
      </c>
      <c r="AC130" s="3">
        <v>9.9974124722669266</v>
      </c>
      <c r="AD130" s="3">
        <v>3.0355498227952831</v>
      </c>
      <c r="AE130" s="3">
        <v>17.917608012892618</v>
      </c>
    </row>
    <row r="131" spans="1:49" ht="23.4" hidden="1" x14ac:dyDescent="0.45">
      <c r="A131" s="2" t="s">
        <v>51</v>
      </c>
      <c r="B131" s="2" t="s">
        <v>27</v>
      </c>
      <c r="C131" s="2">
        <v>30</v>
      </c>
      <c r="D131" s="2" t="s">
        <v>205</v>
      </c>
      <c r="E131" s="2"/>
      <c r="F131" s="2" t="s">
        <v>211</v>
      </c>
      <c r="G131" s="2" t="s">
        <v>205</v>
      </c>
      <c r="H131" s="2" t="s">
        <v>207</v>
      </c>
      <c r="I131" s="2" t="s">
        <v>30</v>
      </c>
      <c r="J131" s="3">
        <v>30.236212450146276</v>
      </c>
      <c r="K131" s="3">
        <v>8.9332238645854147</v>
      </c>
      <c r="L131" s="3">
        <v>4.2969154392891307</v>
      </c>
      <c r="M131" s="3">
        <v>171.10281605873172</v>
      </c>
      <c r="N131" s="3">
        <v>1.1891273417105819</v>
      </c>
      <c r="O131" s="3">
        <v>3.8650075320323407</v>
      </c>
      <c r="P131" s="3">
        <v>15.16827076693985</v>
      </c>
      <c r="Q131" s="3">
        <v>185.0355857090625</v>
      </c>
      <c r="R131" s="3">
        <v>0.9873024945351857</v>
      </c>
      <c r="S131" s="3">
        <v>2.4255886442222243</v>
      </c>
      <c r="T131" s="3">
        <v>24.767703240687741</v>
      </c>
      <c r="U131" s="3">
        <v>31.622063015343283</v>
      </c>
      <c r="V131" s="3">
        <v>5858.0686625924745</v>
      </c>
      <c r="W131" s="3">
        <v>1375.8417076610356</v>
      </c>
      <c r="X131" s="3">
        <v>31.068244519501668</v>
      </c>
      <c r="Y131" s="3">
        <v>25805.230927088978</v>
      </c>
      <c r="Z131" s="3">
        <v>21.161916086604101</v>
      </c>
      <c r="AA131" s="3">
        <v>14.892183284140152</v>
      </c>
      <c r="AB131" s="3">
        <v>100.42144693077624</v>
      </c>
      <c r="AC131" s="3">
        <v>225.12868568269587</v>
      </c>
      <c r="AD131" s="3">
        <v>81.78802975349862</v>
      </c>
      <c r="AE131" s="3">
        <v>4.8851858096906238</v>
      </c>
    </row>
    <row r="132" spans="1:49" ht="23.4" hidden="1" x14ac:dyDescent="0.45">
      <c r="A132" s="2" t="s">
        <v>109</v>
      </c>
      <c r="B132" s="2" t="s">
        <v>86</v>
      </c>
      <c r="C132" s="2">
        <v>30</v>
      </c>
      <c r="D132" s="2" t="s">
        <v>205</v>
      </c>
      <c r="E132" s="2"/>
      <c r="F132" s="2" t="s">
        <v>211</v>
      </c>
      <c r="G132" s="2" t="s">
        <v>205</v>
      </c>
      <c r="H132" s="2" t="s">
        <v>207</v>
      </c>
      <c r="I132" s="2" t="s">
        <v>28</v>
      </c>
      <c r="J132" s="3">
        <v>109.89971028827443</v>
      </c>
      <c r="K132" s="3">
        <v>22.763924027621883</v>
      </c>
      <c r="L132" s="3">
        <v>9.5490855724211396</v>
      </c>
      <c r="M132" s="3">
        <v>3.3181319803437526</v>
      </c>
      <c r="N132" s="3">
        <v>0.44443679007128889</v>
      </c>
      <c r="O132" s="3">
        <v>0.88029612470645546</v>
      </c>
      <c r="P132" s="3">
        <v>6.8150356526861327</v>
      </c>
      <c r="Q132" s="3">
        <v>4.8830847570660083</v>
      </c>
      <c r="R132" s="3">
        <v>6.3086132880203394</v>
      </c>
      <c r="S132" s="3">
        <v>1.5049649207784304</v>
      </c>
      <c r="T132" s="3">
        <v>61.375033379528844</v>
      </c>
      <c r="U132" s="3">
        <v>74.533593165910574</v>
      </c>
      <c r="V132" s="3">
        <v>639.13047209547801</v>
      </c>
      <c r="W132" s="3">
        <v>723.49191707494413</v>
      </c>
      <c r="X132" s="3">
        <v>828.70406600768058</v>
      </c>
      <c r="Y132" s="3">
        <v>9138.8407160365114</v>
      </c>
      <c r="Z132" s="3">
        <v>8.5333270405197226</v>
      </c>
      <c r="AA132" s="3">
        <v>58.443868406587299</v>
      </c>
      <c r="AB132" s="3">
        <v>101.84849999999999</v>
      </c>
      <c r="AC132" s="3">
        <v>70.029199999999989</v>
      </c>
      <c r="AD132" s="3">
        <v>778.01009999999997</v>
      </c>
      <c r="AE132" s="3">
        <v>216.68010000000001</v>
      </c>
      <c r="AF132" s="10">
        <v>9.9</v>
      </c>
      <c r="AG132" s="10">
        <v>5.12</v>
      </c>
      <c r="AH132" s="10">
        <v>14.5</v>
      </c>
      <c r="AI132" s="10">
        <v>43.9</v>
      </c>
      <c r="AJ132" s="10">
        <v>86</v>
      </c>
      <c r="AK132" s="10">
        <v>28.3</v>
      </c>
      <c r="AL132" s="10">
        <v>33.1</v>
      </c>
      <c r="AM132" s="10">
        <v>0</v>
      </c>
      <c r="AN132" s="10">
        <v>64</v>
      </c>
      <c r="AO132" s="10">
        <v>3</v>
      </c>
      <c r="AP132" s="10">
        <v>0</v>
      </c>
      <c r="AQ132" s="10">
        <v>23</v>
      </c>
      <c r="AR132" s="10">
        <v>10</v>
      </c>
      <c r="AS132" s="10">
        <v>219</v>
      </c>
      <c r="AT132" s="10">
        <f t="shared" ref="AT132:AT133" si="128">AN132*AF132</f>
        <v>633.6</v>
      </c>
      <c r="AU132" s="10">
        <f t="shared" ref="AU132:AU133" si="129">AQ132*AF132</f>
        <v>227.70000000000002</v>
      </c>
      <c r="AV132" s="11">
        <f t="shared" ref="AV132:AV133" si="130">(AS132*AT132)/AU132</f>
        <v>609.39130434782601</v>
      </c>
      <c r="AW132" s="11">
        <f t="shared" ref="AW132:AW133" si="131">AT132/AU132</f>
        <v>2.7826086956521738</v>
      </c>
    </row>
    <row r="133" spans="1:49" ht="23.4" hidden="1" x14ac:dyDescent="0.45">
      <c r="A133" s="2" t="s">
        <v>110</v>
      </c>
      <c r="B133" s="2" t="s">
        <v>86</v>
      </c>
      <c r="C133" s="2">
        <v>30</v>
      </c>
      <c r="D133" s="2" t="s">
        <v>205</v>
      </c>
      <c r="E133" s="2"/>
      <c r="F133" s="2" t="s">
        <v>211</v>
      </c>
      <c r="G133" s="2" t="s">
        <v>205</v>
      </c>
      <c r="H133" s="2" t="s">
        <v>207</v>
      </c>
      <c r="I133" s="2" t="s">
        <v>30</v>
      </c>
      <c r="J133" s="3">
        <v>151.17002897311011</v>
      </c>
      <c r="K133" s="3">
        <v>19.882719666816165</v>
      </c>
      <c r="L133" s="3">
        <v>10.412885366500435</v>
      </c>
      <c r="M133" s="3">
        <v>3.2235255284419728</v>
      </c>
      <c r="N133" s="3">
        <v>0.56264582768743621</v>
      </c>
      <c r="O133" s="3">
        <v>2.2784</v>
      </c>
      <c r="P133" s="3">
        <v>2.166166017808743</v>
      </c>
      <c r="Q133" s="3">
        <v>10.56549940905848</v>
      </c>
      <c r="R133" s="3">
        <v>6.3086132880203394</v>
      </c>
      <c r="S133" s="3">
        <v>2.5021476645041645</v>
      </c>
      <c r="T133" s="3">
        <v>31.525987081213152</v>
      </c>
      <c r="U133" s="3">
        <v>59.443769071782654</v>
      </c>
      <c r="V133" s="3">
        <v>788.13417786973525</v>
      </c>
      <c r="W133" s="3">
        <v>853.36908833451866</v>
      </c>
      <c r="X133" s="3">
        <v>748.34646705205171</v>
      </c>
      <c r="Y133" s="3">
        <v>13932.258356160997</v>
      </c>
      <c r="Z133" s="3">
        <v>8.9868115179391737</v>
      </c>
      <c r="AA133" s="3">
        <v>56.785595343706952</v>
      </c>
      <c r="AB133" s="3">
        <v>108.93674999999999</v>
      </c>
      <c r="AC133" s="3">
        <v>50.014849999999996</v>
      </c>
      <c r="AD133" s="3">
        <v>847.76789999999994</v>
      </c>
      <c r="AE133" s="3">
        <v>253.19385</v>
      </c>
      <c r="AF133">
        <v>8.4</v>
      </c>
      <c r="AG133">
        <v>4.96</v>
      </c>
      <c r="AH133">
        <v>13.8</v>
      </c>
      <c r="AI133">
        <v>41.4</v>
      </c>
      <c r="AJ133">
        <v>83</v>
      </c>
      <c r="AK133">
        <v>27.7</v>
      </c>
      <c r="AL133">
        <v>33.200000000000003</v>
      </c>
      <c r="AM133">
        <v>0</v>
      </c>
      <c r="AN133">
        <v>56</v>
      </c>
      <c r="AO133">
        <v>3</v>
      </c>
      <c r="AP133">
        <v>1</v>
      </c>
      <c r="AQ133">
        <v>31</v>
      </c>
      <c r="AR133">
        <v>9</v>
      </c>
      <c r="AS133" s="10">
        <v>239</v>
      </c>
      <c r="AT133" s="10">
        <f t="shared" si="128"/>
        <v>470.40000000000003</v>
      </c>
      <c r="AU133" s="10">
        <f t="shared" si="129"/>
        <v>260.40000000000003</v>
      </c>
      <c r="AV133" s="8">
        <f t="shared" si="130"/>
        <v>431.74193548387092</v>
      </c>
      <c r="AW133">
        <f t="shared" si="131"/>
        <v>1.8064516129032258</v>
      </c>
    </row>
    <row r="134" spans="1:49" ht="23.4" hidden="1" x14ac:dyDescent="0.45">
      <c r="A134" s="2" t="s">
        <v>52</v>
      </c>
      <c r="B134" s="2" t="s">
        <v>27</v>
      </c>
      <c r="C134" s="2">
        <v>31</v>
      </c>
      <c r="D134" s="2" t="s">
        <v>204</v>
      </c>
      <c r="E134" s="2"/>
      <c r="F134" s="2" t="s">
        <v>211</v>
      </c>
      <c r="G134" s="2" t="s">
        <v>214</v>
      </c>
      <c r="H134" s="2" t="s">
        <v>207</v>
      </c>
      <c r="I134" s="2" t="s">
        <v>28</v>
      </c>
      <c r="J134" s="3">
        <v>44.273045675006024</v>
      </c>
      <c r="K134" s="3">
        <v>28.368736165075088</v>
      </c>
      <c r="L134" s="3">
        <v>1.221253743642384</v>
      </c>
      <c r="M134" s="3">
        <v>128.70391106606797</v>
      </c>
      <c r="N134" s="3">
        <v>0.15820000000000001</v>
      </c>
      <c r="O134" s="3">
        <v>14.792936117974172</v>
      </c>
      <c r="P134" s="3">
        <v>4.7706270023173181</v>
      </c>
      <c r="Q134" s="3">
        <v>6.4441012904237471</v>
      </c>
      <c r="R134" s="3">
        <v>0.1729</v>
      </c>
      <c r="S134" s="3">
        <v>0.24640000000000004</v>
      </c>
      <c r="T134" s="3">
        <v>46.73269967953722</v>
      </c>
      <c r="U134" s="3">
        <v>9.520806127784109</v>
      </c>
      <c r="V134" s="3">
        <v>24.421880098484692</v>
      </c>
      <c r="W134" s="3">
        <v>3816.1066322807369</v>
      </c>
      <c r="X134" s="3">
        <v>5.0229140763428708</v>
      </c>
      <c r="Y134" s="3">
        <v>232.01015593931734</v>
      </c>
      <c r="Z134" s="3">
        <v>0.25900000000000001</v>
      </c>
      <c r="AA134" s="3">
        <v>5.4082667878055259</v>
      </c>
      <c r="AB134" s="3">
        <v>10.605528511529727</v>
      </c>
      <c r="AC134" s="3">
        <v>6.4306066974244638E-2</v>
      </c>
      <c r="AD134" s="3">
        <v>0.12378325175964053</v>
      </c>
      <c r="AE134" s="3">
        <v>9.5074946466809429</v>
      </c>
    </row>
    <row r="135" spans="1:49" ht="23.4" hidden="1" x14ac:dyDescent="0.45">
      <c r="A135" s="2" t="s">
        <v>53</v>
      </c>
      <c r="B135" s="2" t="s">
        <v>27</v>
      </c>
      <c r="C135" s="2">
        <v>31</v>
      </c>
      <c r="D135" s="2" t="s">
        <v>204</v>
      </c>
      <c r="E135" s="2"/>
      <c r="F135" s="2" t="s">
        <v>211</v>
      </c>
      <c r="G135" s="2" t="s">
        <v>214</v>
      </c>
      <c r="H135" s="2" t="s">
        <v>207</v>
      </c>
      <c r="I135" s="2" t="s">
        <v>30</v>
      </c>
      <c r="J135" s="3">
        <v>38.100181912159407</v>
      </c>
      <c r="K135" s="3">
        <v>11.680977780702921</v>
      </c>
      <c r="L135" s="3">
        <v>40.104731323717033</v>
      </c>
      <c r="M135" s="3">
        <v>233.62335372788769</v>
      </c>
      <c r="N135" s="3">
        <v>4.8175962902375211</v>
      </c>
      <c r="O135" s="3">
        <v>52.258833792755375</v>
      </c>
      <c r="P135" s="3">
        <v>64.699106185004354</v>
      </c>
      <c r="Q135" s="3">
        <v>1299.976877880591</v>
      </c>
      <c r="R135" s="3">
        <v>7.3123551079572291</v>
      </c>
      <c r="S135" s="3">
        <v>12.313386022774543</v>
      </c>
      <c r="T135" s="3">
        <v>171.21484442337351</v>
      </c>
      <c r="U135" s="3">
        <v>0.47435000000000005</v>
      </c>
      <c r="V135" s="3">
        <v>5605.9560826399475</v>
      </c>
      <c r="W135" s="3">
        <v>4338.94195155955</v>
      </c>
      <c r="X135" s="3">
        <v>201.18730595300909</v>
      </c>
      <c r="Y135" s="3">
        <v>69989.130081142823</v>
      </c>
      <c r="Z135" s="3">
        <v>119.8077350428365</v>
      </c>
      <c r="AA135" s="3">
        <v>69.790800987941239</v>
      </c>
      <c r="AB135" s="3">
        <v>50.817454444496413</v>
      </c>
      <c r="AC135" s="3">
        <v>185.07896674247763</v>
      </c>
      <c r="AD135" s="3">
        <v>42.12095800866696</v>
      </c>
      <c r="AE135" s="3">
        <v>18.063628429060252</v>
      </c>
    </row>
    <row r="136" spans="1:49" ht="23.4" hidden="1" x14ac:dyDescent="0.45">
      <c r="A136" s="2" t="s">
        <v>111</v>
      </c>
      <c r="B136" s="2" t="s">
        <v>86</v>
      </c>
      <c r="C136" s="2">
        <v>31</v>
      </c>
      <c r="D136" s="2" t="s">
        <v>204</v>
      </c>
      <c r="E136" s="2"/>
      <c r="F136" s="2" t="s">
        <v>211</v>
      </c>
      <c r="G136" s="2" t="s">
        <v>214</v>
      </c>
      <c r="H136" s="2" t="s">
        <v>207</v>
      </c>
      <c r="I136" s="2" t="s">
        <v>28</v>
      </c>
      <c r="J136" s="3">
        <v>212.93172733200228</v>
      </c>
      <c r="K136" s="3">
        <v>14.441329120815226</v>
      </c>
      <c r="L136" s="3">
        <v>2.8958680788486539</v>
      </c>
      <c r="M136" s="3">
        <v>1.5640643068029889</v>
      </c>
      <c r="N136" s="3">
        <v>0.20482515918583002</v>
      </c>
      <c r="O136" s="3">
        <v>3.1811408431423285</v>
      </c>
      <c r="P136" s="3">
        <v>0.71502867299873984</v>
      </c>
      <c r="Q136" s="3">
        <v>4.0946239435983554</v>
      </c>
      <c r="R136" s="3">
        <v>3.0876183096069534</v>
      </c>
      <c r="S136" s="3">
        <v>3.4993304082298988</v>
      </c>
      <c r="T136" s="3">
        <v>24.667383994392548</v>
      </c>
      <c r="U136" s="3">
        <v>22.411342560326265</v>
      </c>
      <c r="V136" s="3">
        <v>477.14490455297579</v>
      </c>
      <c r="W136" s="3">
        <v>349.50504063881363</v>
      </c>
      <c r="X136" s="3">
        <v>471.04751564801757</v>
      </c>
      <c r="Y136" s="3">
        <v>3611.6755208836294</v>
      </c>
      <c r="Z136" s="3">
        <v>10.463314830377453</v>
      </c>
      <c r="AA136" s="3">
        <v>21.514209624705352</v>
      </c>
      <c r="AB136" s="3">
        <v>117.08775</v>
      </c>
      <c r="AC136" s="3">
        <v>86.985499999999988</v>
      </c>
      <c r="AD136" s="3">
        <v>637.65554999999995</v>
      </c>
      <c r="AE136" s="3">
        <v>138.73859999999999</v>
      </c>
      <c r="AF136" s="10">
        <v>5.8</v>
      </c>
      <c r="AG136" s="10">
        <v>4.18</v>
      </c>
      <c r="AH136" s="10">
        <v>12.6</v>
      </c>
      <c r="AI136" s="10">
        <v>37.5</v>
      </c>
      <c r="AJ136" s="10">
        <v>90</v>
      </c>
      <c r="AK136" s="10">
        <v>30.2</v>
      </c>
      <c r="AL136" s="10">
        <v>33.700000000000003</v>
      </c>
      <c r="AM136" s="10">
        <v>0</v>
      </c>
      <c r="AN136" s="10">
        <v>58</v>
      </c>
      <c r="AO136" s="10">
        <v>5</v>
      </c>
      <c r="AP136" s="10">
        <v>1</v>
      </c>
      <c r="AQ136" s="10">
        <v>26</v>
      </c>
      <c r="AR136" s="10">
        <v>10</v>
      </c>
      <c r="AS136" s="10">
        <v>170</v>
      </c>
      <c r="AT136" s="10">
        <f t="shared" ref="AT136:AT137" si="132">AN136*AF136</f>
        <v>336.4</v>
      </c>
      <c r="AU136" s="10">
        <f t="shared" ref="AU136:AU138" si="133">AQ136*AF136</f>
        <v>150.79999999999998</v>
      </c>
      <c r="AV136" s="11">
        <f t="shared" ref="AV136:AV137" si="134">(AS136*AT136)/AU136</f>
        <v>379.23076923076923</v>
      </c>
      <c r="AW136" s="10">
        <f t="shared" ref="AW136:AW137" si="135">AT136/AU136</f>
        <v>2.2307692307692308</v>
      </c>
    </row>
    <row r="137" spans="1:49" ht="23.4" hidden="1" x14ac:dyDescent="0.45">
      <c r="A137" s="2" t="s">
        <v>112</v>
      </c>
      <c r="B137" s="2" t="s">
        <v>86</v>
      </c>
      <c r="C137" s="2">
        <v>31</v>
      </c>
      <c r="D137" s="2" t="s">
        <v>204</v>
      </c>
      <c r="E137" s="2"/>
      <c r="F137" s="2" t="s">
        <v>211</v>
      </c>
      <c r="G137" s="2" t="s">
        <v>214</v>
      </c>
      <c r="H137" s="2" t="s">
        <v>207</v>
      </c>
      <c r="I137" s="2" t="s">
        <v>30</v>
      </c>
      <c r="J137" s="3">
        <v>228.97478623257291</v>
      </c>
      <c r="K137" s="3">
        <v>11.939331466529532</v>
      </c>
      <c r="L137" s="3">
        <v>4.488377994416207</v>
      </c>
      <c r="M137" s="3">
        <v>2.9786544885625688</v>
      </c>
      <c r="N137" s="3">
        <v>0.32622775245514013</v>
      </c>
      <c r="O137" s="3">
        <v>4.0726349477517383</v>
      </c>
      <c r="P137" s="3">
        <v>3.1021746370416881</v>
      </c>
      <c r="Q137" s="3">
        <v>4.6658873881142782</v>
      </c>
      <c r="R137" s="3">
        <v>7.9666292525797351</v>
      </c>
      <c r="S137" s="3">
        <v>3.4993304082298988</v>
      </c>
      <c r="T137" s="3">
        <v>24.780592070161884</v>
      </c>
      <c r="U137" s="3">
        <v>35.942010258988148</v>
      </c>
      <c r="V137" s="3">
        <v>1064.888347335527</v>
      </c>
      <c r="W137" s="3">
        <v>601.42419131169379</v>
      </c>
      <c r="X137" s="3">
        <v>603.75187887952904</v>
      </c>
      <c r="Y137" s="3">
        <v>9483.6051278778086</v>
      </c>
      <c r="Z137" s="3">
        <v>20.233519520601519</v>
      </c>
      <c r="AA137" s="3">
        <v>31.559826523770301</v>
      </c>
      <c r="AB137" s="3"/>
      <c r="AC137" s="3"/>
      <c r="AD137" s="3"/>
      <c r="AE137" s="3"/>
      <c r="AF137">
        <v>7.5</v>
      </c>
      <c r="AG137">
        <v>4.32</v>
      </c>
      <c r="AH137">
        <v>12.9</v>
      </c>
      <c r="AI137">
        <v>38</v>
      </c>
      <c r="AJ137">
        <v>88</v>
      </c>
      <c r="AK137">
        <v>29.9</v>
      </c>
      <c r="AL137">
        <v>34.1</v>
      </c>
      <c r="AM137">
        <v>0</v>
      </c>
      <c r="AN137">
        <v>76</v>
      </c>
      <c r="AO137">
        <v>3</v>
      </c>
      <c r="AP137">
        <v>1</v>
      </c>
      <c r="AQ137">
        <v>12</v>
      </c>
      <c r="AR137">
        <v>8</v>
      </c>
      <c r="AS137" s="10">
        <v>233</v>
      </c>
      <c r="AT137" s="10">
        <f t="shared" si="132"/>
        <v>570</v>
      </c>
      <c r="AU137" s="10">
        <f t="shared" si="133"/>
        <v>90</v>
      </c>
      <c r="AV137" s="11">
        <f t="shared" si="134"/>
        <v>1475.6666666666667</v>
      </c>
      <c r="AW137" s="10">
        <f t="shared" si="135"/>
        <v>6.333333333333333</v>
      </c>
    </row>
    <row r="138" spans="1:49" ht="23.4" hidden="1" x14ac:dyDescent="0.45">
      <c r="A138" s="2" t="s">
        <v>127</v>
      </c>
      <c r="B138" s="2" t="s">
        <v>86</v>
      </c>
      <c r="C138" s="2">
        <v>33</v>
      </c>
      <c r="D138" s="2" t="s">
        <v>204</v>
      </c>
      <c r="E138" s="2"/>
      <c r="F138" s="2" t="s">
        <v>211</v>
      </c>
      <c r="G138" s="2" t="s">
        <v>214</v>
      </c>
      <c r="H138" s="2" t="s">
        <v>207</v>
      </c>
      <c r="I138" s="2" t="s">
        <v>28</v>
      </c>
      <c r="J138" s="3">
        <v>284.92559862313988</v>
      </c>
      <c r="K138" s="3">
        <v>6.5584954662889192</v>
      </c>
      <c r="L138" s="3">
        <v>4.488377994416207</v>
      </c>
      <c r="M138" s="3">
        <v>1.2885243103383115</v>
      </c>
      <c r="N138" s="3">
        <v>0.32622775245514013</v>
      </c>
      <c r="O138" s="3">
        <v>1.819334875938732</v>
      </c>
      <c r="P138" s="3">
        <v>1.249057708194355</v>
      </c>
      <c r="Q138" s="3">
        <v>2.7615163062341423</v>
      </c>
      <c r="R138" s="3">
        <v>2.5709508906717811</v>
      </c>
      <c r="S138" s="3">
        <v>1.5049649207784304</v>
      </c>
      <c r="T138" s="3">
        <v>14.90131771749809</v>
      </c>
      <c r="U138" s="3">
        <v>145.82621417729945</v>
      </c>
      <c r="V138" s="3">
        <v>949.75885184142635</v>
      </c>
      <c r="W138" s="3">
        <v>367.63662897020282</v>
      </c>
      <c r="X138" s="3">
        <v>430.32359977059423</v>
      </c>
      <c r="Y138" s="3">
        <v>6021.0816038222847</v>
      </c>
      <c r="Z138" s="3">
        <v>12.859252654435316</v>
      </c>
      <c r="AA138" s="3">
        <v>44.052706167121571</v>
      </c>
      <c r="AB138" s="3">
        <v>87.769499999999994</v>
      </c>
      <c r="AC138" s="3">
        <v>10.5299</v>
      </c>
      <c r="AD138" s="3">
        <v>356.21459999999996</v>
      </c>
      <c r="AE138" s="3">
        <v>141.38669999999999</v>
      </c>
      <c r="AF138">
        <v>7.5</v>
      </c>
      <c r="AG138">
        <v>4.12</v>
      </c>
      <c r="AH138">
        <v>11.8</v>
      </c>
      <c r="AI138">
        <v>37.1</v>
      </c>
      <c r="AJ138">
        <v>90</v>
      </c>
      <c r="AK138">
        <v>28.7</v>
      </c>
      <c r="AL138">
        <v>31.9</v>
      </c>
      <c r="AM138">
        <v>0</v>
      </c>
      <c r="AN138">
        <v>70</v>
      </c>
      <c r="AO138">
        <v>1</v>
      </c>
      <c r="AP138">
        <v>0</v>
      </c>
      <c r="AQ138">
        <v>23</v>
      </c>
      <c r="AR138">
        <v>6</v>
      </c>
      <c r="AS138" s="10">
        <v>233</v>
      </c>
      <c r="AT138" s="10">
        <f>AN138*AF138</f>
        <v>525</v>
      </c>
      <c r="AU138" s="10">
        <f t="shared" si="133"/>
        <v>172.5</v>
      </c>
      <c r="AV138" s="8">
        <f>(AS138*AT138)/AU138</f>
        <v>709.13043478260875</v>
      </c>
      <c r="AW138" s="10">
        <f>AT138/AU138</f>
        <v>3.0434782608695654</v>
      </c>
    </row>
    <row r="139" spans="1:49" ht="23.4" hidden="1" x14ac:dyDescent="0.45">
      <c r="A139" s="2" t="s">
        <v>128</v>
      </c>
      <c r="B139" s="2" t="s">
        <v>86</v>
      </c>
      <c r="C139" s="2">
        <v>33</v>
      </c>
      <c r="D139" s="2" t="s">
        <v>204</v>
      </c>
      <c r="E139" s="2"/>
      <c r="F139" s="2" t="s">
        <v>211</v>
      </c>
      <c r="G139" s="2" t="s">
        <v>214</v>
      </c>
      <c r="H139" s="2" t="s">
        <v>207</v>
      </c>
      <c r="I139" s="2" t="s">
        <v>30</v>
      </c>
      <c r="J139" s="3">
        <v>349.74022171805052</v>
      </c>
      <c r="K139" s="3">
        <v>5.9180918829782092</v>
      </c>
      <c r="L139" s="3">
        <v>6.0218081705813491</v>
      </c>
      <c r="M139" s="3">
        <v>1.0033211665387107</v>
      </c>
      <c r="N139" s="3">
        <v>0.38574601393396146</v>
      </c>
      <c r="O139" s="3">
        <v>1.819334875938732</v>
      </c>
      <c r="P139" s="3">
        <v>1.3949818824997295</v>
      </c>
      <c r="Q139" s="3">
        <v>4.9720231998993194</v>
      </c>
      <c r="R139" s="3">
        <v>1.1995899974744879</v>
      </c>
      <c r="S139" s="3">
        <v>1.5049649207784304</v>
      </c>
      <c r="T139" s="3">
        <v>19.999060632067572</v>
      </c>
      <c r="U139" s="3">
        <v>115.72665153896064</v>
      </c>
      <c r="V139" s="3">
        <v>704.28660043172192</v>
      </c>
      <c r="W139" s="3">
        <v>1015.4563893067427</v>
      </c>
      <c r="X139" s="3">
        <v>493.77802440859068</v>
      </c>
      <c r="Y139" s="3">
        <v>5505.2621231212161</v>
      </c>
      <c r="Z139" s="3">
        <v>13.544144918866541</v>
      </c>
      <c r="AA139" s="3">
        <v>44.884647370588027</v>
      </c>
      <c r="AB139" s="3"/>
      <c r="AC139" s="3"/>
      <c r="AD139" s="3"/>
      <c r="AE139" s="3"/>
    </row>
    <row r="140" spans="1:49" ht="23.4" hidden="1" x14ac:dyDescent="0.45">
      <c r="A140" s="2" t="s">
        <v>132</v>
      </c>
      <c r="B140" s="2" t="s">
        <v>27</v>
      </c>
      <c r="C140" s="2">
        <v>33</v>
      </c>
      <c r="D140" s="2" t="s">
        <v>204</v>
      </c>
      <c r="E140" s="2"/>
      <c r="F140" s="2" t="s">
        <v>211</v>
      </c>
      <c r="G140" s="2" t="s">
        <v>214</v>
      </c>
      <c r="H140" s="2" t="s">
        <v>207</v>
      </c>
      <c r="I140" s="2" t="s">
        <v>28</v>
      </c>
      <c r="J140" s="3">
        <v>23.984906811681054</v>
      </c>
      <c r="K140" s="3">
        <v>20.424192307699389</v>
      </c>
      <c r="L140" s="3">
        <v>21.708459361702939</v>
      </c>
      <c r="M140" s="3">
        <v>89.977483246160133</v>
      </c>
      <c r="N140" s="3">
        <v>0.25960706737755607</v>
      </c>
      <c r="O140" s="3">
        <v>18.663936767469476</v>
      </c>
      <c r="P140" s="3">
        <v>61.040113066639719</v>
      </c>
      <c r="Q140" s="3">
        <v>255.60895736041951</v>
      </c>
      <c r="R140" s="3">
        <v>1.1860970500589392</v>
      </c>
      <c r="S140" s="3">
        <v>2.9807161020599238</v>
      </c>
      <c r="T140" s="3">
        <v>26.931286949288729</v>
      </c>
      <c r="U140" s="3">
        <v>61.894811271636215</v>
      </c>
      <c r="V140" s="3">
        <v>935.12921732086181</v>
      </c>
      <c r="W140" s="3">
        <v>1803.6339991571028</v>
      </c>
      <c r="X140" s="3">
        <v>139.16718768673428</v>
      </c>
      <c r="Y140" s="3">
        <v>2203.3753079032986</v>
      </c>
      <c r="Z140" s="3">
        <v>10.391279331414378</v>
      </c>
      <c r="AA140" s="3">
        <v>54.397394419671251</v>
      </c>
      <c r="AB140" s="3">
        <v>40.419762258543827</v>
      </c>
      <c r="AC140" s="3">
        <v>533.00534918276367</v>
      </c>
      <c r="AD140" s="3">
        <v>28.883580980683504</v>
      </c>
      <c r="AE140" s="3">
        <v>40.483506686478449</v>
      </c>
    </row>
    <row r="141" spans="1:49" ht="23.4" hidden="1" x14ac:dyDescent="0.45">
      <c r="A141" s="2" t="s">
        <v>133</v>
      </c>
      <c r="B141" s="2" t="s">
        <v>27</v>
      </c>
      <c r="C141" s="2">
        <v>33</v>
      </c>
      <c r="D141" s="2" t="s">
        <v>204</v>
      </c>
      <c r="E141" s="2"/>
      <c r="F141" s="2" t="s">
        <v>211</v>
      </c>
      <c r="G141" s="2" t="s">
        <v>214</v>
      </c>
      <c r="H141" s="2" t="s">
        <v>207</v>
      </c>
      <c r="I141" s="2" t="s">
        <v>30</v>
      </c>
      <c r="J141" s="3">
        <v>43.192328501755227</v>
      </c>
      <c r="K141" s="3">
        <v>23.414990088309644</v>
      </c>
      <c r="L141" s="3">
        <v>28.176287867401335</v>
      </c>
      <c r="M141" s="3">
        <v>116.06923894167406</v>
      </c>
      <c r="N141" s="3">
        <v>0.52631392564462542</v>
      </c>
      <c r="O141" s="3">
        <v>22.619890815548267</v>
      </c>
      <c r="P141" s="3">
        <v>61.507732251984578</v>
      </c>
      <c r="Q141" s="3">
        <v>202.42193026269283</v>
      </c>
      <c r="R141" s="3">
        <v>0.60453256680433376</v>
      </c>
      <c r="S141" s="3">
        <v>5.3103489235201042</v>
      </c>
      <c r="T141" s="3">
        <v>31.813234750045748</v>
      </c>
      <c r="U141" s="3">
        <v>67.952104661962849</v>
      </c>
      <c r="V141" s="3">
        <v>8100.1426055532083</v>
      </c>
      <c r="W141" s="3">
        <v>9254.7397362403499</v>
      </c>
      <c r="X141" s="3">
        <v>195.49660293515973</v>
      </c>
      <c r="Y141" s="3">
        <v>21788.598813145923</v>
      </c>
      <c r="Z141" s="3">
        <v>25.826181723987315</v>
      </c>
      <c r="AA141" s="3">
        <v>29.023668227420703</v>
      </c>
      <c r="AB141" s="3"/>
      <c r="AC141" s="3"/>
      <c r="AD141" s="3"/>
      <c r="AE141" s="3"/>
    </row>
    <row r="142" spans="1:49" ht="23.4" hidden="1" x14ac:dyDescent="0.45">
      <c r="A142" s="2" t="s">
        <v>129</v>
      </c>
      <c r="B142" s="2" t="s">
        <v>86</v>
      </c>
      <c r="C142" s="2">
        <v>34</v>
      </c>
      <c r="D142" s="2" t="s">
        <v>205</v>
      </c>
      <c r="E142" s="2" t="s">
        <v>210</v>
      </c>
      <c r="F142" s="2" t="s">
        <v>211</v>
      </c>
      <c r="G142" s="2" t="s">
        <v>205</v>
      </c>
      <c r="H142" s="2" t="s">
        <v>207</v>
      </c>
      <c r="I142" s="2" t="s">
        <v>28</v>
      </c>
      <c r="J142" s="3">
        <v>116.04827792835739</v>
      </c>
      <c r="K142" s="3">
        <v>15.135395486164777</v>
      </c>
      <c r="L142" s="3">
        <v>2.8426969346796565</v>
      </c>
      <c r="M142" s="3">
        <v>1.148698458950107</v>
      </c>
      <c r="N142" s="3">
        <v>7.9243500671657308E-2</v>
      </c>
      <c r="O142" s="3">
        <v>2.2784</v>
      </c>
      <c r="P142" s="3">
        <v>1.7506470747284701</v>
      </c>
      <c r="Q142" s="3">
        <v>5.5365396090673089</v>
      </c>
      <c r="R142" s="3">
        <v>3.6004319246869527</v>
      </c>
      <c r="S142" s="3">
        <v>1.5049649207784304</v>
      </c>
      <c r="T142" s="3">
        <v>5.8946558365465549</v>
      </c>
      <c r="U142" s="3">
        <v>40.349972469683863</v>
      </c>
      <c r="V142" s="3">
        <v>685.70683585936376</v>
      </c>
      <c r="W142" s="3">
        <v>358.86835651617531</v>
      </c>
      <c r="X142" s="3">
        <v>522.75992646831924</v>
      </c>
      <c r="Y142" s="3">
        <v>18980.732324595745</v>
      </c>
      <c r="Z142" s="3">
        <v>12.782587532753482</v>
      </c>
      <c r="AA142" s="3">
        <v>42.944829706327148</v>
      </c>
      <c r="AB142" s="3"/>
      <c r="AC142" s="3"/>
      <c r="AD142" s="3"/>
      <c r="AE142" s="3"/>
      <c r="AF142">
        <v>6.2</v>
      </c>
      <c r="AG142">
        <v>4.7699999999999996</v>
      </c>
      <c r="AH142">
        <v>14.6</v>
      </c>
      <c r="AI142">
        <v>43.6</v>
      </c>
      <c r="AJ142">
        <v>91</v>
      </c>
      <c r="AK142">
        <v>30.6</v>
      </c>
      <c r="AL142">
        <v>33.5</v>
      </c>
      <c r="AM142">
        <v>0</v>
      </c>
      <c r="AN142">
        <v>76</v>
      </c>
      <c r="AO142">
        <v>1</v>
      </c>
      <c r="AP142">
        <v>1</v>
      </c>
      <c r="AQ142">
        <v>15</v>
      </c>
      <c r="AR142">
        <v>7</v>
      </c>
      <c r="AS142" s="10">
        <v>156</v>
      </c>
      <c r="AT142" s="12">
        <f t="shared" ref="AT142" si="136">AN142*AF142</f>
        <v>471.2</v>
      </c>
      <c r="AU142" s="10">
        <f t="shared" ref="AU142" si="137">AQ142*AF142</f>
        <v>93</v>
      </c>
      <c r="AV142" s="11">
        <f t="shared" ref="AV142" si="138">(AS142*AT142)/AU142</f>
        <v>790.4</v>
      </c>
      <c r="AW142" s="11">
        <f t="shared" ref="AW142" si="139">AT142/AU142</f>
        <v>5.0666666666666664</v>
      </c>
    </row>
    <row r="143" spans="1:49" ht="23.4" hidden="1" x14ac:dyDescent="0.45">
      <c r="A143" s="2" t="s">
        <v>130</v>
      </c>
      <c r="B143" s="2" t="s">
        <v>86</v>
      </c>
      <c r="C143" s="2">
        <v>34</v>
      </c>
      <c r="D143" s="2" t="s">
        <v>205</v>
      </c>
      <c r="E143" s="2" t="s">
        <v>210</v>
      </c>
      <c r="F143" s="2" t="s">
        <v>211</v>
      </c>
      <c r="G143" s="2" t="s">
        <v>205</v>
      </c>
      <c r="H143" s="2" t="s">
        <v>207</v>
      </c>
      <c r="I143" s="2" t="s">
        <v>30</v>
      </c>
      <c r="J143" s="3">
        <v>113.89423081184317</v>
      </c>
      <c r="K143" s="3">
        <v>18.281011071812049</v>
      </c>
      <c r="L143" s="3">
        <v>8.9761283648734338</v>
      </c>
      <c r="M143" s="3">
        <v>2.3519283233712267</v>
      </c>
      <c r="N143" s="3">
        <v>0.38574601393396146</v>
      </c>
      <c r="O143" s="3">
        <v>1.819334875938732</v>
      </c>
      <c r="P143" s="3">
        <v>3.1679307545930122</v>
      </c>
      <c r="Q143" s="3">
        <v>6.0998494741171214</v>
      </c>
      <c r="R143" s="3">
        <v>5.8274219492336607</v>
      </c>
      <c r="S143" s="3">
        <v>6.2508774143344725</v>
      </c>
      <c r="T143" s="3">
        <v>17.450189174782782</v>
      </c>
      <c r="U143" s="3">
        <v>76.393191372665584</v>
      </c>
      <c r="V143" s="3">
        <v>1932.6169559542313</v>
      </c>
      <c r="W143" s="3">
        <v>390.92721650412318</v>
      </c>
      <c r="X143" s="3">
        <v>574.90600602724862</v>
      </c>
      <c r="Y143" s="3">
        <v>76473.81702458013</v>
      </c>
      <c r="Z143" s="3">
        <v>18.75482604954993</v>
      </c>
      <c r="AA143" s="3">
        <v>68.117814135279289</v>
      </c>
      <c r="AB143" s="3">
        <v>95.686499999999995</v>
      </c>
      <c r="AC143" s="3">
        <v>49.642199999999995</v>
      </c>
      <c r="AD143" s="3">
        <v>432.43409999999994</v>
      </c>
      <c r="AE143" s="3">
        <v>81.244799999999998</v>
      </c>
    </row>
    <row r="144" spans="1:49" ht="23.4" hidden="1" x14ac:dyDescent="0.45">
      <c r="A144" s="2" t="s">
        <v>134</v>
      </c>
      <c r="B144" s="2" t="s">
        <v>27</v>
      </c>
      <c r="C144" s="2">
        <v>34</v>
      </c>
      <c r="D144" s="2" t="s">
        <v>205</v>
      </c>
      <c r="E144" s="2" t="s">
        <v>210</v>
      </c>
      <c r="F144" s="2" t="s">
        <v>211</v>
      </c>
      <c r="G144" s="2" t="s">
        <v>205</v>
      </c>
      <c r="H144" s="2" t="s">
        <v>207</v>
      </c>
      <c r="I144" s="2" t="s">
        <v>28</v>
      </c>
      <c r="J144" s="3">
        <v>20.931454438016416</v>
      </c>
      <c r="K144" s="3">
        <v>12.95351714510079</v>
      </c>
      <c r="L144" s="3">
        <v>10.736062392200528</v>
      </c>
      <c r="M144" s="3">
        <v>22.885911643408527</v>
      </c>
      <c r="N144" s="3">
        <v>0.29625293870128239</v>
      </c>
      <c r="O144" s="3">
        <v>16.648472605378558</v>
      </c>
      <c r="P144" s="3">
        <v>193.93171647124572</v>
      </c>
      <c r="Q144" s="3">
        <v>8140.8</v>
      </c>
      <c r="R144" s="3">
        <v>1.1381760000000001</v>
      </c>
      <c r="S144" s="3">
        <v>4.1154561970946464</v>
      </c>
      <c r="T144" s="3">
        <v>24.211958078371701</v>
      </c>
      <c r="U144" s="3">
        <v>20.581344021531766</v>
      </c>
      <c r="V144" s="3">
        <v>96.709556403231844</v>
      </c>
      <c r="W144" s="3">
        <v>496.92732947353068</v>
      </c>
      <c r="X144" s="3">
        <v>1095.7534149948417</v>
      </c>
      <c r="Y144" s="3">
        <v>1311.1051251001336</v>
      </c>
      <c r="Z144" s="3">
        <v>8.0358257897298841</v>
      </c>
      <c r="AA144" s="3">
        <v>32.447802901705906</v>
      </c>
      <c r="AB144" s="3">
        <v>388.8701171875</v>
      </c>
      <c r="AC144" s="3">
        <v>394.86067708333326</v>
      </c>
      <c r="AD144" s="3">
        <v>7.9488281249999995</v>
      </c>
      <c r="AE144" s="3">
        <v>41.465429687499999</v>
      </c>
    </row>
    <row r="145" spans="1:49" ht="23.4" hidden="1" x14ac:dyDescent="0.45">
      <c r="A145" s="2" t="s">
        <v>135</v>
      </c>
      <c r="B145" s="2" t="s">
        <v>27</v>
      </c>
      <c r="C145" s="2">
        <v>34</v>
      </c>
      <c r="D145" s="2" t="s">
        <v>205</v>
      </c>
      <c r="E145" s="2" t="s">
        <v>210</v>
      </c>
      <c r="F145" s="2" t="s">
        <v>211</v>
      </c>
      <c r="G145" s="2" t="s">
        <v>205</v>
      </c>
      <c r="H145" s="2" t="s">
        <v>207</v>
      </c>
      <c r="I145" s="2" t="s">
        <v>30</v>
      </c>
      <c r="J145" s="3">
        <v>30.923032174186815</v>
      </c>
      <c r="K145" s="3">
        <v>18.640123574180713</v>
      </c>
      <c r="L145" s="3">
        <v>29.466586217893425</v>
      </c>
      <c r="M145" s="3">
        <v>39.335639108373918</v>
      </c>
      <c r="N145" s="3">
        <v>0.18490141274545352</v>
      </c>
      <c r="O145" s="3">
        <v>8.3300290585737091</v>
      </c>
      <c r="P145" s="3">
        <v>3.3000736865960909</v>
      </c>
      <c r="Q145" s="3">
        <v>195.33522852355605</v>
      </c>
      <c r="R145" s="3">
        <v>0.57983050441217077</v>
      </c>
      <c r="S145" s="3">
        <v>2.6351505216261151</v>
      </c>
      <c r="T145" s="3">
        <v>13.165517691405634</v>
      </c>
      <c r="U145" s="3">
        <v>3.1812221122991691</v>
      </c>
      <c r="V145" s="3">
        <v>11994.935927502036</v>
      </c>
      <c r="W145" s="3">
        <v>157.28253889423701</v>
      </c>
      <c r="X145" s="3">
        <v>51.373123286821851</v>
      </c>
      <c r="Y145" s="3">
        <v>29966.809861553011</v>
      </c>
      <c r="Z145" s="3">
        <v>14.400580061200454</v>
      </c>
      <c r="AA145" s="3">
        <v>22.592790355164599</v>
      </c>
      <c r="AB145" s="3">
        <v>61.996960486322187</v>
      </c>
      <c r="AC145" s="3">
        <v>113.01185410334345</v>
      </c>
      <c r="AD145" s="3">
        <v>52.193617021276587</v>
      </c>
      <c r="AE145" s="3">
        <v>1247.3361702127659</v>
      </c>
    </row>
    <row r="146" spans="1:49" ht="23.4" hidden="1" x14ac:dyDescent="0.45">
      <c r="A146" s="2" t="s">
        <v>54</v>
      </c>
      <c r="B146" s="2" t="s">
        <v>27</v>
      </c>
      <c r="C146" s="2">
        <v>35</v>
      </c>
      <c r="D146" s="2" t="s">
        <v>204</v>
      </c>
      <c r="E146" s="2" t="s">
        <v>211</v>
      </c>
      <c r="F146" s="2" t="s">
        <v>211</v>
      </c>
      <c r="G146" s="2" t="s">
        <v>205</v>
      </c>
      <c r="H146" s="2" t="s">
        <v>207</v>
      </c>
      <c r="I146" s="2" t="s">
        <v>28</v>
      </c>
      <c r="J146" s="3">
        <v>1.6940000000000002</v>
      </c>
      <c r="K146" s="3">
        <v>0.35259999999999997</v>
      </c>
      <c r="L146" s="3">
        <v>0.29899999999999999</v>
      </c>
      <c r="M146" s="3">
        <v>0.43215000000000003</v>
      </c>
      <c r="N146" s="3">
        <v>0.15820000000000001</v>
      </c>
      <c r="O146" s="3">
        <v>54.481645983648257</v>
      </c>
      <c r="P146" s="3">
        <v>9.8000000000000004E-2</v>
      </c>
      <c r="Q146" s="3">
        <v>0.26</v>
      </c>
      <c r="R146" s="3">
        <v>0.1729</v>
      </c>
      <c r="S146" s="3">
        <v>0.24640000000000004</v>
      </c>
      <c r="T146" s="3">
        <v>660.24593265498606</v>
      </c>
      <c r="U146" s="3">
        <v>0.47435000000000005</v>
      </c>
      <c r="V146" s="3">
        <v>0.9798</v>
      </c>
      <c r="W146" s="3">
        <v>5.5967499999999992</v>
      </c>
      <c r="X146" s="3">
        <v>0.32340000000000002</v>
      </c>
      <c r="Y146" s="3">
        <v>1.7313000000000001</v>
      </c>
      <c r="Z146" s="3">
        <v>0.25900000000000001</v>
      </c>
      <c r="AA146" s="3">
        <v>78.565537464019741</v>
      </c>
      <c r="AB146" s="3">
        <v>177.30406950346037</v>
      </c>
      <c r="AC146" s="3">
        <v>48.4375</v>
      </c>
      <c r="AD146" s="3">
        <v>58.5</v>
      </c>
      <c r="AE146" s="3">
        <v>277.5</v>
      </c>
    </row>
    <row r="147" spans="1:49" ht="23.4" x14ac:dyDescent="0.45">
      <c r="A147" s="2" t="s">
        <v>131</v>
      </c>
      <c r="B147" s="2" t="s">
        <v>86</v>
      </c>
      <c r="C147" s="2">
        <v>35</v>
      </c>
      <c r="D147" s="2" t="s">
        <v>204</v>
      </c>
      <c r="E147" s="2" t="s">
        <v>211</v>
      </c>
      <c r="F147" s="2" t="s">
        <v>211</v>
      </c>
      <c r="G147" s="2" t="s">
        <v>205</v>
      </c>
      <c r="H147" s="2" t="s">
        <v>207</v>
      </c>
      <c r="I147" s="2" t="s">
        <v>28</v>
      </c>
      <c r="J147" s="3">
        <v>518.67692661665842</v>
      </c>
      <c r="K147" s="3">
        <v>19.398584282896657</v>
      </c>
      <c r="L147" s="3">
        <v>8.2452959172100062</v>
      </c>
      <c r="M147" s="3">
        <v>2.4794995925493124</v>
      </c>
      <c r="N147" s="3">
        <v>2.8042078685584553</v>
      </c>
      <c r="O147" s="3">
        <v>3.1811408431423285</v>
      </c>
      <c r="P147" s="3">
        <v>3.8158008698366022</v>
      </c>
      <c r="Q147" s="3">
        <v>8.134707574133003</v>
      </c>
      <c r="R147" s="3">
        <v>8.2002308797655701</v>
      </c>
      <c r="S147" s="3">
        <v>7.1430879053686382</v>
      </c>
      <c r="T147" s="3">
        <v>31.525987081213152</v>
      </c>
      <c r="U147" s="3">
        <v>326.67611444124651</v>
      </c>
      <c r="V147" s="3">
        <v>834.45795059108548</v>
      </c>
      <c r="W147" s="3">
        <v>591.38831124784679</v>
      </c>
      <c r="X147" s="3">
        <v>1643.538932472334</v>
      </c>
      <c r="Y147" s="3">
        <v>67076.168447648306</v>
      </c>
      <c r="Z147" s="3">
        <v>22.037860074143648</v>
      </c>
      <c r="AA147" s="3">
        <v>85.940201792912433</v>
      </c>
      <c r="AB147" s="3">
        <v>105.39749999999999</v>
      </c>
      <c r="AC147" s="3">
        <v>6.3683999999999994</v>
      </c>
      <c r="AD147" s="3">
        <v>445.50029999999998</v>
      </c>
      <c r="AE147" s="3">
        <v>47.228999999999999</v>
      </c>
      <c r="AF147">
        <v>7.4</v>
      </c>
      <c r="AG147">
        <v>5.34</v>
      </c>
      <c r="AH147">
        <v>14.9</v>
      </c>
      <c r="AI147">
        <v>45.3</v>
      </c>
      <c r="AJ147">
        <v>85</v>
      </c>
      <c r="AK147">
        <v>27.9</v>
      </c>
      <c r="AL147">
        <v>32.9</v>
      </c>
      <c r="AM147">
        <v>0</v>
      </c>
      <c r="AN147">
        <v>45</v>
      </c>
      <c r="AO147">
        <v>6</v>
      </c>
      <c r="AP147">
        <v>1</v>
      </c>
      <c r="AQ147">
        <v>40</v>
      </c>
      <c r="AR147">
        <v>8</v>
      </c>
      <c r="AS147" s="10">
        <v>252</v>
      </c>
      <c r="AT147" s="12">
        <f t="shared" ref="AT147" si="140">AN147*AF147</f>
        <v>333</v>
      </c>
      <c r="AU147" s="10">
        <f t="shared" ref="AU147" si="141">AQ147*AF147</f>
        <v>296</v>
      </c>
      <c r="AV147" s="11">
        <f t="shared" ref="AV147" si="142">(AS147*AT147)/AU147</f>
        <v>283.5</v>
      </c>
      <c r="AW147" s="11">
        <f t="shared" ref="AW147" si="143">AT147/AU147</f>
        <v>1.125</v>
      </c>
    </row>
    <row r="148" spans="1:49" ht="23.4" hidden="1" x14ac:dyDescent="0.45">
      <c r="A148" s="2" t="s">
        <v>187</v>
      </c>
      <c r="B148" s="2" t="s">
        <v>188</v>
      </c>
      <c r="C148" s="2" t="s">
        <v>198</v>
      </c>
      <c r="D148" s="2" t="s">
        <v>80</v>
      </c>
      <c r="E148" s="2"/>
      <c r="F148" s="2"/>
      <c r="G148" s="2"/>
      <c r="H148" s="2"/>
      <c r="I148" s="2" t="s">
        <v>137</v>
      </c>
      <c r="J148" s="3">
        <v>71.138915134364396</v>
      </c>
      <c r="K148" s="3">
        <v>33.891192482244399</v>
      </c>
      <c r="L148" s="3">
        <v>37.848477061861303</v>
      </c>
      <c r="M148" s="3">
        <v>12.2772112775009</v>
      </c>
      <c r="N148" s="3">
        <v>6.8777373509674904</v>
      </c>
      <c r="O148" s="3">
        <v>9.4421289970133593</v>
      </c>
      <c r="P148" s="3">
        <v>4.44533724448927</v>
      </c>
      <c r="Q148" s="3">
        <v>2.4224108842288201</v>
      </c>
      <c r="R148" s="3">
        <v>5.3540516605590698</v>
      </c>
      <c r="S148" s="3">
        <v>20.092276682049398</v>
      </c>
      <c r="T148" s="3">
        <v>87.392769073001602</v>
      </c>
      <c r="U148" s="3">
        <v>53.3474955164045</v>
      </c>
      <c r="V148" s="3">
        <v>463.66604135696798</v>
      </c>
      <c r="W148" s="3">
        <v>220.882977996574</v>
      </c>
      <c r="X148" s="3">
        <v>758.93456819018195</v>
      </c>
      <c r="Y148" s="3">
        <v>1790.6474889967701</v>
      </c>
      <c r="Z148" s="3">
        <v>42.402640405107498</v>
      </c>
      <c r="AA148" s="3">
        <v>43.6850917856747</v>
      </c>
      <c r="AB148" s="3">
        <v>24.6616021007491</v>
      </c>
      <c r="AC148" s="3">
        <v>23.676271216198799</v>
      </c>
      <c r="AD148" s="3">
        <v>266.31167438752198</v>
      </c>
      <c r="AE148" s="3">
        <v>118.405653914162</v>
      </c>
    </row>
    <row r="149" spans="1:49" ht="23.4" hidden="1" x14ac:dyDescent="0.45">
      <c r="A149" s="2" t="s">
        <v>189</v>
      </c>
      <c r="B149" s="2" t="s">
        <v>188</v>
      </c>
      <c r="C149" s="2" t="s">
        <v>199</v>
      </c>
      <c r="D149" s="2" t="s">
        <v>80</v>
      </c>
      <c r="E149" s="2"/>
      <c r="F149" s="2"/>
      <c r="G149" s="2"/>
      <c r="H149" s="2"/>
      <c r="I149" s="2" t="s">
        <v>137</v>
      </c>
      <c r="J149" s="3">
        <v>90.023235395476902</v>
      </c>
      <c r="K149" s="3">
        <v>16.9362108025365</v>
      </c>
      <c r="L149" s="3">
        <v>14.9985410852291</v>
      </c>
      <c r="M149" s="3">
        <v>7.4232899446085199</v>
      </c>
      <c r="N149" s="3">
        <v>2.0715267521597598</v>
      </c>
      <c r="O149" s="3">
        <v>12.613964805284599</v>
      </c>
      <c r="P149" s="3">
        <v>1.33436706850633</v>
      </c>
      <c r="Q149" s="3">
        <v>1.37628217103684</v>
      </c>
      <c r="R149" s="3">
        <v>15.9599661332902</v>
      </c>
      <c r="S149" s="3">
        <v>17.3362038238586</v>
      </c>
      <c r="T149" s="3">
        <v>53.052665474363501</v>
      </c>
      <c r="U149" s="3">
        <v>13.0731495509431</v>
      </c>
      <c r="V149" s="3">
        <v>376.58739504179101</v>
      </c>
      <c r="W149" s="3">
        <v>165.975721023528</v>
      </c>
      <c r="X149" s="3">
        <v>472.81709289385702</v>
      </c>
      <c r="Y149" s="3">
        <v>1163.2552509422101</v>
      </c>
      <c r="Z149" s="3">
        <v>20.653318016111001</v>
      </c>
      <c r="AA149" s="3">
        <v>42.736080969709398</v>
      </c>
      <c r="AB149" s="3">
        <v>40.520265767435397</v>
      </c>
      <c r="AC149" s="3">
        <v>43.255529452926098</v>
      </c>
      <c r="AD149" s="3">
        <v>259.32899878226903</v>
      </c>
      <c r="AE149" s="3">
        <v>130.544278071023</v>
      </c>
    </row>
    <row r="150" spans="1:49" ht="23.4" hidden="1" x14ac:dyDescent="0.45">
      <c r="A150" s="2" t="s">
        <v>78</v>
      </c>
      <c r="B150" s="2" t="s">
        <v>79</v>
      </c>
      <c r="C150" s="2" t="s">
        <v>193</v>
      </c>
      <c r="D150" s="2" t="s">
        <v>80</v>
      </c>
      <c r="E150" s="2"/>
      <c r="F150" s="2"/>
      <c r="G150" s="2"/>
      <c r="H150" s="2"/>
      <c r="I150" s="2" t="s">
        <v>28</v>
      </c>
      <c r="J150" s="3">
        <v>49.663522963881853</v>
      </c>
      <c r="K150" s="3">
        <v>16.534843228928082</v>
      </c>
      <c r="L150" s="3">
        <v>0.29899999999999999</v>
      </c>
      <c r="M150" s="3">
        <v>387.76031521413893</v>
      </c>
      <c r="N150" s="3">
        <v>0.15820000000000001</v>
      </c>
      <c r="O150" s="3">
        <v>5.0843843935498869</v>
      </c>
      <c r="P150" s="3">
        <v>9.8000000000000004E-2</v>
      </c>
      <c r="Q150" s="3">
        <v>17.903035361984891</v>
      </c>
      <c r="R150" s="3">
        <v>0.1729</v>
      </c>
      <c r="S150" s="3">
        <v>0.24640000000000004</v>
      </c>
      <c r="T150" s="3">
        <v>28.229357534547141</v>
      </c>
      <c r="U150" s="3">
        <v>9.7256033534092836</v>
      </c>
      <c r="V150" s="3">
        <v>21.96204347164613</v>
      </c>
      <c r="W150" s="3">
        <v>2982.5414898798022</v>
      </c>
      <c r="X150" s="3">
        <v>19.268430812960592</v>
      </c>
      <c r="Y150" s="3">
        <v>49.381777754322712</v>
      </c>
      <c r="Z150" s="3">
        <v>0.25900000000000001</v>
      </c>
      <c r="AA150" s="3">
        <v>3.6409485783422828</v>
      </c>
      <c r="AB150" s="3">
        <v>9.7214689388264066</v>
      </c>
      <c r="AC150" s="3">
        <v>5.430548513014874E-2</v>
      </c>
      <c r="AD150" s="3">
        <v>3.2442591577943323</v>
      </c>
      <c r="AE150" s="3">
        <v>8.0289330922242339</v>
      </c>
    </row>
    <row r="151" spans="1:49" ht="23.4" hidden="1" x14ac:dyDescent="0.45">
      <c r="A151" s="2" t="s">
        <v>190</v>
      </c>
      <c r="B151" s="2" t="s">
        <v>188</v>
      </c>
      <c r="C151" s="2" t="s">
        <v>200</v>
      </c>
      <c r="D151" s="2" t="s">
        <v>80</v>
      </c>
      <c r="E151" s="2"/>
      <c r="F151" s="2"/>
      <c r="G151" s="2"/>
      <c r="H151" s="2"/>
      <c r="I151" s="2" t="s">
        <v>137</v>
      </c>
      <c r="J151" s="3">
        <v>73.842302460608494</v>
      </c>
      <c r="K151" s="3">
        <v>4.8090685740168704</v>
      </c>
      <c r="L151" s="3">
        <v>1.60357769344095</v>
      </c>
      <c r="M151" s="3">
        <v>1.4712471731901899</v>
      </c>
      <c r="N151" s="3">
        <v>0.42915964391758099</v>
      </c>
      <c r="O151" s="3">
        <v>2.1534209813269101</v>
      </c>
      <c r="P151" s="3">
        <v>7.0000000000000007E-2</v>
      </c>
      <c r="Q151" s="3">
        <v>0.26</v>
      </c>
      <c r="R151" s="3">
        <v>0.45500000000000002</v>
      </c>
      <c r="S151" s="3">
        <v>11.9300935664153</v>
      </c>
      <c r="T151" s="3">
        <v>75.6098894360222</v>
      </c>
      <c r="U151" s="3">
        <v>14.849092394167201</v>
      </c>
      <c r="V151" s="3">
        <v>88.876581923778204</v>
      </c>
      <c r="W151" s="3">
        <v>53.5144610744697</v>
      </c>
      <c r="X151" s="3">
        <v>885.21386639109198</v>
      </c>
      <c r="Y151" s="3">
        <v>441.699644207647</v>
      </c>
      <c r="Z151" s="3">
        <v>8.7541154404492296</v>
      </c>
      <c r="AA151" s="3">
        <v>31.431142298886499</v>
      </c>
      <c r="AB151" s="3">
        <v>37.8928304366557</v>
      </c>
      <c r="AC151" s="3">
        <v>125.433096000615</v>
      </c>
      <c r="AD151" s="3">
        <v>375.17778826162697</v>
      </c>
      <c r="AE151" s="3">
        <v>146.96413623163599</v>
      </c>
    </row>
    <row r="152" spans="1:49" ht="23.4" hidden="1" x14ac:dyDescent="0.45">
      <c r="A152" s="2" t="s">
        <v>191</v>
      </c>
      <c r="B152" s="2" t="s">
        <v>188</v>
      </c>
      <c r="C152" s="2" t="s">
        <v>201</v>
      </c>
      <c r="D152" s="2" t="s">
        <v>80</v>
      </c>
      <c r="E152" s="2"/>
      <c r="F152" s="2"/>
      <c r="G152" s="2"/>
      <c r="H152" s="2"/>
      <c r="I152" s="2" t="s">
        <v>137</v>
      </c>
      <c r="J152" s="3">
        <v>59.710138856170701</v>
      </c>
      <c r="K152" s="3">
        <v>11.467959638513101</v>
      </c>
      <c r="L152" s="3">
        <v>9.5693788918345604</v>
      </c>
      <c r="M152" s="3">
        <v>4.4092825959057604</v>
      </c>
      <c r="N152" s="3">
        <v>2.0001806580263701</v>
      </c>
      <c r="O152" s="3">
        <v>9.5812687965138306</v>
      </c>
      <c r="P152" s="3">
        <v>25.5044211894011</v>
      </c>
      <c r="Q152" s="3">
        <v>1.40512855533628</v>
      </c>
      <c r="R152" s="3">
        <v>5.3576974931586498</v>
      </c>
      <c r="S152" s="3">
        <v>6.08740005279983</v>
      </c>
      <c r="T152" s="3">
        <v>35.031414374989097</v>
      </c>
      <c r="U152" s="3">
        <v>125.620395647208</v>
      </c>
      <c r="V152" s="3">
        <v>318.58694208262199</v>
      </c>
      <c r="W152" s="3">
        <v>177.67370746578499</v>
      </c>
      <c r="X152" s="3">
        <v>737.50791503364599</v>
      </c>
      <c r="Y152" s="3">
        <v>2175.0096897773901</v>
      </c>
      <c r="Z152" s="3">
        <v>26.804202534854898</v>
      </c>
      <c r="AA152" s="3">
        <v>23.5089493000442</v>
      </c>
      <c r="AB152" s="3">
        <v>51.969390800545</v>
      </c>
      <c r="AC152" s="3">
        <v>53.082201519259698</v>
      </c>
      <c r="AD152" s="3">
        <v>163.62198234510299</v>
      </c>
      <c r="AE152" s="3">
        <v>69.440314146830104</v>
      </c>
    </row>
    <row r="153" spans="1:49" ht="23.4" hidden="1" x14ac:dyDescent="0.45">
      <c r="A153" s="2" t="s">
        <v>81</v>
      </c>
      <c r="B153" s="2" t="s">
        <v>79</v>
      </c>
      <c r="C153" s="2" t="s">
        <v>194</v>
      </c>
      <c r="D153" s="2" t="s">
        <v>80</v>
      </c>
      <c r="E153" s="2"/>
      <c r="F153" s="2"/>
      <c r="G153" s="2"/>
      <c r="H153" s="2"/>
      <c r="I153" s="2" t="s">
        <v>28</v>
      </c>
      <c r="J153" s="3">
        <v>55.989429862375324</v>
      </c>
      <c r="K153" s="3">
        <v>13.369258879413248</v>
      </c>
      <c r="L153" s="3">
        <v>1.2398380397412894</v>
      </c>
      <c r="M153" s="3">
        <v>15.951563228490205</v>
      </c>
      <c r="N153" s="3">
        <v>0.15820000000000001</v>
      </c>
      <c r="O153" s="3">
        <v>13.427133480727827</v>
      </c>
      <c r="P153" s="3">
        <v>4.3614609757792033</v>
      </c>
      <c r="Q153" s="3">
        <v>12.170071384679041</v>
      </c>
      <c r="R153" s="3">
        <v>0.1729</v>
      </c>
      <c r="S153" s="3">
        <v>0.24640000000000004</v>
      </c>
      <c r="T153" s="3">
        <v>45.649323558149767</v>
      </c>
      <c r="U153" s="3">
        <v>0.47435000000000005</v>
      </c>
      <c r="V153" s="3">
        <v>22.015382063290204</v>
      </c>
      <c r="W153" s="3">
        <v>3423.6980677939587</v>
      </c>
      <c r="X153" s="3">
        <v>2.1168074482256301</v>
      </c>
      <c r="Y153" s="3">
        <v>369.92878177322297</v>
      </c>
      <c r="Z153" s="3">
        <v>0.25900000000000001</v>
      </c>
      <c r="AA153" s="3">
        <v>4.3770533996158312</v>
      </c>
      <c r="AB153" s="3">
        <v>8.2697891324989339</v>
      </c>
      <c r="AC153" s="3">
        <v>1.6847826086956521</v>
      </c>
      <c r="AD153" s="3">
        <v>2.034782608695652</v>
      </c>
      <c r="AE153" s="3">
        <v>9.6521739130434767</v>
      </c>
    </row>
    <row r="154" spans="1:49" ht="23.4" hidden="1" x14ac:dyDescent="0.45">
      <c r="A154" s="2" t="s">
        <v>192</v>
      </c>
      <c r="B154" s="2" t="s">
        <v>188</v>
      </c>
      <c r="C154" s="2" t="s">
        <v>202</v>
      </c>
      <c r="D154" s="2" t="s">
        <v>80</v>
      </c>
      <c r="E154" s="2"/>
      <c r="F154" s="2"/>
      <c r="G154" s="2"/>
      <c r="H154" s="2"/>
      <c r="I154" s="2" t="s">
        <v>137</v>
      </c>
      <c r="J154" s="3">
        <v>360.59561776275899</v>
      </c>
      <c r="K154" s="3">
        <v>22.179413605209799</v>
      </c>
      <c r="L154" s="3">
        <v>4.91570834330747</v>
      </c>
      <c r="M154" s="3">
        <v>0.64500000000000002</v>
      </c>
      <c r="N154" s="3">
        <v>0.14495569736696701</v>
      </c>
      <c r="O154" s="3">
        <v>0.116605157561327</v>
      </c>
      <c r="P154" s="3">
        <v>3.3257048530333901</v>
      </c>
      <c r="Q154" s="3">
        <v>3.9217947540332099</v>
      </c>
      <c r="R154" s="3">
        <v>0.45500000000000002</v>
      </c>
      <c r="S154" s="3">
        <v>0.44</v>
      </c>
      <c r="T154" s="3">
        <v>2.8267467715699901</v>
      </c>
      <c r="U154" s="3">
        <v>12.506695551908001</v>
      </c>
      <c r="V154" s="3">
        <v>1305.1401709455799</v>
      </c>
      <c r="W154" s="3">
        <v>542.56383764198995</v>
      </c>
      <c r="X154" s="3">
        <v>967.28633225966405</v>
      </c>
      <c r="Y154" s="3">
        <v>7781.9750508492298</v>
      </c>
      <c r="Z154" s="3">
        <v>46.863832289711198</v>
      </c>
      <c r="AA154" s="3">
        <v>24.9675072403932</v>
      </c>
      <c r="AB154" s="3">
        <v>37.660185026169103</v>
      </c>
      <c r="AC154" s="3">
        <v>62.520500366054399</v>
      </c>
      <c r="AD154" s="3">
        <v>129.468439302365</v>
      </c>
      <c r="AE154" s="3">
        <v>54.695911801377903</v>
      </c>
    </row>
    <row r="155" spans="1:49" ht="23.4" hidden="1" x14ac:dyDescent="0.45">
      <c r="A155" s="2" t="s">
        <v>82</v>
      </c>
      <c r="B155" s="2" t="s">
        <v>79</v>
      </c>
      <c r="C155" s="2" t="s">
        <v>195</v>
      </c>
      <c r="D155" s="2" t="s">
        <v>80</v>
      </c>
      <c r="E155" s="2"/>
      <c r="F155" s="2"/>
      <c r="G155" s="2"/>
      <c r="H155" s="2"/>
      <c r="I155" s="2" t="s">
        <v>28</v>
      </c>
      <c r="J155" s="3">
        <v>17.874036591329098</v>
      </c>
      <c r="K155" s="3">
        <v>35.043174063002866</v>
      </c>
      <c r="L155" s="3">
        <v>5.5247930280983457</v>
      </c>
      <c r="M155" s="3">
        <v>40.60892988901157</v>
      </c>
      <c r="N155" s="3">
        <v>0.15820000000000001</v>
      </c>
      <c r="O155" s="3">
        <v>20.270773556870729</v>
      </c>
      <c r="P155" s="3">
        <v>11.07381842273603</v>
      </c>
      <c r="Q155" s="3">
        <v>8.8572702921567767</v>
      </c>
      <c r="R155" s="3">
        <v>0.1729</v>
      </c>
      <c r="S155" s="3">
        <v>1.7498497227139569</v>
      </c>
      <c r="T155" s="3">
        <v>69.96703347873455</v>
      </c>
      <c r="U155" s="3">
        <v>60.800194747924017</v>
      </c>
      <c r="V155" s="3">
        <v>0.9798</v>
      </c>
      <c r="W155" s="3">
        <v>5892.3689504814784</v>
      </c>
      <c r="X155" s="3">
        <v>0.32340000000000002</v>
      </c>
      <c r="Y155" s="3">
        <v>326.35163501102772</v>
      </c>
      <c r="Z155" s="3">
        <v>0.25900000000000001</v>
      </c>
      <c r="AA155" s="3">
        <v>9.1666113845492703</v>
      </c>
      <c r="AB155" s="3">
        <v>17.296673589756498</v>
      </c>
      <c r="AC155" s="3">
        <v>9.0454618304133275E-2</v>
      </c>
      <c r="AD155" s="3">
        <v>2.8192771084337349</v>
      </c>
      <c r="AE155" s="3">
        <v>13.373493975903614</v>
      </c>
    </row>
    <row r="156" spans="1:49" ht="23.4" hidden="1" x14ac:dyDescent="0.45">
      <c r="A156" s="2" t="s">
        <v>83</v>
      </c>
      <c r="B156" s="2" t="s">
        <v>79</v>
      </c>
      <c r="C156" s="2" t="s">
        <v>196</v>
      </c>
      <c r="D156" s="2" t="s">
        <v>80</v>
      </c>
      <c r="E156" s="2"/>
      <c r="F156" s="2"/>
      <c r="G156" s="2"/>
      <c r="H156" s="2"/>
      <c r="I156" s="2" t="s">
        <v>28</v>
      </c>
      <c r="J156" s="3">
        <v>41.665728110667622</v>
      </c>
      <c r="K156" s="3">
        <v>30.143307301210548</v>
      </c>
      <c r="L156" s="3">
        <v>3.3548558722411372</v>
      </c>
      <c r="M156" s="3">
        <v>114.64900918246464</v>
      </c>
      <c r="N156" s="3">
        <v>0.15820000000000001</v>
      </c>
      <c r="O156" s="3">
        <v>25.416531483051642</v>
      </c>
      <c r="P156" s="3">
        <v>0.13644608978627445</v>
      </c>
      <c r="Q156" s="3">
        <v>31.853386285010352</v>
      </c>
      <c r="R156" s="3">
        <v>0.1729</v>
      </c>
      <c r="S156" s="3">
        <v>1.2087907020036366</v>
      </c>
      <c r="T156" s="3">
        <v>72.422208060933173</v>
      </c>
      <c r="U156" s="3">
        <v>0.47435000000000005</v>
      </c>
      <c r="V156" s="3">
        <v>0.9798</v>
      </c>
      <c r="W156" s="3">
        <v>11309.61539873372</v>
      </c>
      <c r="X156" s="3">
        <v>0.32340000000000002</v>
      </c>
      <c r="Y156" s="3">
        <v>191.1643271790675</v>
      </c>
      <c r="Z156" s="3">
        <v>0.25900000000000001</v>
      </c>
      <c r="AA156" s="3">
        <v>13.341579033363415</v>
      </c>
      <c r="AB156" s="3">
        <v>6.9999999999999982</v>
      </c>
      <c r="AC156" s="3">
        <v>4.5588235294117645</v>
      </c>
      <c r="AD156" s="3">
        <v>5.5058823529411756</v>
      </c>
      <c r="AE156" s="3">
        <v>26.117647058823525</v>
      </c>
    </row>
    <row r="157" spans="1:49" ht="23.4" hidden="1" x14ac:dyDescent="0.45">
      <c r="A157" s="2" t="s">
        <v>84</v>
      </c>
      <c r="B157" s="2" t="s">
        <v>79</v>
      </c>
      <c r="C157" s="2" t="s">
        <v>197</v>
      </c>
      <c r="D157" s="2" t="s">
        <v>80</v>
      </c>
      <c r="E157" s="2"/>
      <c r="F157" s="2"/>
      <c r="G157" s="2"/>
      <c r="H157" s="2"/>
      <c r="I157" s="2" t="s">
        <v>28</v>
      </c>
      <c r="J157" s="3">
        <v>30.917245647493658</v>
      </c>
      <c r="K157" s="3">
        <v>11.304583540427402</v>
      </c>
      <c r="L157" s="3">
        <v>1.0239236952980131</v>
      </c>
      <c r="M157" s="3">
        <v>40.392798245481551</v>
      </c>
      <c r="N157" s="3">
        <v>0.15820000000000001</v>
      </c>
      <c r="O157" s="3">
        <v>6.4083321972580585</v>
      </c>
      <c r="P157" s="3">
        <v>4.1644228480550556E-2</v>
      </c>
      <c r="Q157" s="3">
        <v>1.4845620286456589</v>
      </c>
      <c r="R157" s="3">
        <v>0.1729</v>
      </c>
      <c r="S157" s="3">
        <v>0.24640000000000004</v>
      </c>
      <c r="T157" s="3">
        <v>33.699867061298917</v>
      </c>
      <c r="U157" s="3">
        <v>1.1838592750978751</v>
      </c>
      <c r="V157" s="3">
        <v>16.852933061554094</v>
      </c>
      <c r="W157" s="3">
        <v>2665.0608096180017</v>
      </c>
      <c r="X157" s="3">
        <v>4.216684964308997</v>
      </c>
      <c r="Y157" s="3">
        <v>94.026374298576968</v>
      </c>
      <c r="Z157" s="3">
        <v>0.25900000000000001</v>
      </c>
      <c r="AA157" s="3">
        <v>3.1576673105471866</v>
      </c>
      <c r="AB157" s="3"/>
      <c r="AC157" s="3"/>
      <c r="AD157" s="3"/>
      <c r="AE157" s="3"/>
    </row>
  </sheetData>
  <autoFilter ref="A1:AE157" xr:uid="{F6B7C3C8-97C8-48B1-8E48-886B0E0C978C}">
    <filterColumn colId="1">
      <filters>
        <filter val="PlasmaPaciente"/>
      </filters>
    </filterColumn>
    <filterColumn colId="2">
      <filters>
        <filter val="35"/>
      </filters>
    </filterColumn>
    <sortState xmlns:xlrd2="http://schemas.microsoft.com/office/spreadsheetml/2017/richdata2" ref="A57:AE60">
      <sortCondition ref="I1:I157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Leon Mellado</dc:creator>
  <cp:lastModifiedBy>Jose Leon Mellado</cp:lastModifiedBy>
  <dcterms:created xsi:type="dcterms:W3CDTF">2026-01-29T15:04:48Z</dcterms:created>
  <dcterms:modified xsi:type="dcterms:W3CDTF">2026-02-14T05:47:44Z</dcterms:modified>
</cp:coreProperties>
</file>